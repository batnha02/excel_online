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Private\bds_taichinh\"/>
    </mc:Choice>
  </mc:AlternateContent>
  <xr:revisionPtr revIDLastSave="0" documentId="13_ncr:1_{C36E20F8-64C4-406E-A480-EF94B1F48E8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inhan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1" i="2" l="1"/>
  <c r="I20" i="2"/>
  <c r="I19" i="2"/>
  <c r="I16" i="2"/>
  <c r="I14" i="2"/>
  <c r="H17" i="2"/>
  <c r="H20" i="2"/>
  <c r="H15" i="2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B26" i="3"/>
  <c r="B18" i="3"/>
  <c r="B4" i="3"/>
  <c r="K3" i="3"/>
  <c r="K2" i="3"/>
  <c r="B17" i="3" s="1"/>
  <c r="E2" i="3"/>
  <c r="H14" i="2"/>
  <c r="H10" i="2"/>
  <c r="H9" i="2"/>
  <c r="H8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K3" i="2"/>
  <c r="B3" i="2"/>
  <c r="K2" i="2"/>
  <c r="B7" i="2" s="1"/>
  <c r="E2" i="2"/>
  <c r="E3" i="2" s="1"/>
  <c r="H7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3" i="1"/>
  <c r="E4" i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3" i="1"/>
  <c r="E2" i="1"/>
  <c r="K2" i="1"/>
  <c r="B7" i="1" s="1"/>
  <c r="K3" i="1"/>
  <c r="B5" i="3" l="1"/>
  <c r="B19" i="3"/>
  <c r="B11" i="3"/>
  <c r="B22" i="3"/>
  <c r="B12" i="3"/>
  <c r="B23" i="3"/>
  <c r="B6" i="3"/>
  <c r="B13" i="3"/>
  <c r="B20" i="3"/>
  <c r="B24" i="3"/>
  <c r="B7" i="3"/>
  <c r="B14" i="3"/>
  <c r="B21" i="3"/>
  <c r="B25" i="3"/>
  <c r="H16" i="2"/>
  <c r="B8" i="3"/>
  <c r="B15" i="3"/>
  <c r="B9" i="3"/>
  <c r="B16" i="3"/>
  <c r="B3" i="3"/>
  <c r="B10" i="3"/>
  <c r="D3" i="2"/>
  <c r="C3" i="2"/>
  <c r="B4" i="2"/>
  <c r="B5" i="2"/>
  <c r="B6" i="2"/>
  <c r="B34" i="1"/>
  <c r="B50" i="1"/>
  <c r="B18" i="1"/>
  <c r="B58" i="1"/>
  <c r="B26" i="1"/>
  <c r="B10" i="1"/>
  <c r="B62" i="1"/>
  <c r="B46" i="1"/>
  <c r="B30" i="1"/>
  <c r="B14" i="1"/>
  <c r="B42" i="1"/>
  <c r="B54" i="1"/>
  <c r="B38" i="1"/>
  <c r="B22" i="1"/>
  <c r="B6" i="1"/>
  <c r="B61" i="1"/>
  <c r="B57" i="1"/>
  <c r="B53" i="1"/>
  <c r="B49" i="1"/>
  <c r="B45" i="1"/>
  <c r="B41" i="1"/>
  <c r="B37" i="1"/>
  <c r="B33" i="1"/>
  <c r="B29" i="1"/>
  <c r="B25" i="1"/>
  <c r="B21" i="1"/>
  <c r="B17" i="1"/>
  <c r="B13" i="1"/>
  <c r="B9" i="1"/>
  <c r="B5" i="1"/>
  <c r="B60" i="1"/>
  <c r="B56" i="1"/>
  <c r="B52" i="1"/>
  <c r="B48" i="1"/>
  <c r="B44" i="1"/>
  <c r="B40" i="1"/>
  <c r="B36" i="1"/>
  <c r="B32" i="1"/>
  <c r="B28" i="1"/>
  <c r="B24" i="1"/>
  <c r="B20" i="1"/>
  <c r="B16" i="1"/>
  <c r="B12" i="1"/>
  <c r="B8" i="1"/>
  <c r="B4" i="1"/>
  <c r="B3" i="1"/>
  <c r="B59" i="1"/>
  <c r="B55" i="1"/>
  <c r="B51" i="1"/>
  <c r="B47" i="1"/>
  <c r="B43" i="1"/>
  <c r="B39" i="1"/>
  <c r="B35" i="1"/>
  <c r="B31" i="1"/>
  <c r="B27" i="1"/>
  <c r="B23" i="1"/>
  <c r="B19" i="1"/>
  <c r="B15" i="1"/>
  <c r="B11" i="1"/>
  <c r="E3" i="3" l="1"/>
  <c r="E4" i="2"/>
  <c r="D3" i="1"/>
  <c r="E4" i="3" l="1"/>
  <c r="C3" i="3"/>
  <c r="D3" i="3" s="1"/>
  <c r="E5" i="2"/>
  <c r="C4" i="2"/>
  <c r="D4" i="2" s="1"/>
  <c r="E5" i="3" l="1"/>
  <c r="C4" i="3"/>
  <c r="D4" i="3" s="1"/>
  <c r="E6" i="2"/>
  <c r="C5" i="2"/>
  <c r="D5" i="2" s="1"/>
  <c r="E6" i="3" l="1"/>
  <c r="C5" i="3"/>
  <c r="D5" i="3" s="1"/>
  <c r="E7" i="2"/>
  <c r="C6" i="2"/>
  <c r="D6" i="2" s="1"/>
  <c r="E7" i="3" l="1"/>
  <c r="C6" i="3"/>
  <c r="D6" i="3" s="1"/>
  <c r="E8" i="2"/>
  <c r="C7" i="2"/>
  <c r="D7" i="2" s="1"/>
  <c r="E8" i="3" l="1"/>
  <c r="C7" i="3"/>
  <c r="D7" i="3" s="1"/>
  <c r="E9" i="2"/>
  <c r="C8" i="2"/>
  <c r="D8" i="2" s="1"/>
  <c r="C8" i="3" l="1"/>
  <c r="D8" i="3" s="1"/>
  <c r="E9" i="3"/>
  <c r="E10" i="2"/>
  <c r="C9" i="2"/>
  <c r="D9" i="2" s="1"/>
  <c r="E10" i="3" l="1"/>
  <c r="C9" i="3"/>
  <c r="D9" i="3" s="1"/>
  <c r="E11" i="2"/>
  <c r="C10" i="2"/>
  <c r="D10" i="2" s="1"/>
  <c r="E11" i="3" l="1"/>
  <c r="C10" i="3"/>
  <c r="D10" i="3" s="1"/>
  <c r="E12" i="2"/>
  <c r="C11" i="2"/>
  <c r="D11" i="2" s="1"/>
  <c r="E12" i="3" l="1"/>
  <c r="C11" i="3"/>
  <c r="D11" i="3" s="1"/>
  <c r="E13" i="2"/>
  <c r="C12" i="2"/>
  <c r="D12" i="2" s="1"/>
  <c r="E13" i="3" l="1"/>
  <c r="C12" i="3"/>
  <c r="D12" i="3" s="1"/>
  <c r="E14" i="2"/>
  <c r="C13" i="2"/>
  <c r="D13" i="2" s="1"/>
  <c r="E14" i="3" l="1"/>
  <c r="C13" i="3"/>
  <c r="D13" i="3" s="1"/>
  <c r="E15" i="2"/>
  <c r="C14" i="2"/>
  <c r="D14" i="2" s="1"/>
  <c r="E15" i="3" l="1"/>
  <c r="C14" i="3"/>
  <c r="D14" i="3" s="1"/>
  <c r="E16" i="2"/>
  <c r="C15" i="2"/>
  <c r="D15" i="2" s="1"/>
  <c r="C15" i="3" l="1"/>
  <c r="D15" i="3" s="1"/>
  <c r="E16" i="3"/>
  <c r="E17" i="2"/>
  <c r="C16" i="2"/>
  <c r="D16" i="2" s="1"/>
  <c r="E17" i="3" l="1"/>
  <c r="C16" i="3"/>
  <c r="D16" i="3" s="1"/>
  <c r="E18" i="2"/>
  <c r="C17" i="2"/>
  <c r="D17" i="2" s="1"/>
  <c r="E18" i="3" l="1"/>
  <c r="C17" i="3"/>
  <c r="D17" i="3" s="1"/>
  <c r="E19" i="2"/>
  <c r="C18" i="2"/>
  <c r="D18" i="2" s="1"/>
  <c r="E19" i="3" l="1"/>
  <c r="C18" i="3"/>
  <c r="D18" i="3" s="1"/>
  <c r="E20" i="2"/>
  <c r="C19" i="2"/>
  <c r="D19" i="2" s="1"/>
  <c r="E20" i="3" l="1"/>
  <c r="C19" i="3"/>
  <c r="D19" i="3" s="1"/>
  <c r="E21" i="2"/>
  <c r="C20" i="2"/>
  <c r="D20" i="2" s="1"/>
  <c r="E21" i="3" l="1"/>
  <c r="C20" i="3"/>
  <c r="D20" i="3" s="1"/>
  <c r="E22" i="2"/>
  <c r="C21" i="2"/>
  <c r="D21" i="2" s="1"/>
  <c r="E22" i="3" l="1"/>
  <c r="C21" i="3"/>
  <c r="D21" i="3" s="1"/>
  <c r="E23" i="2"/>
  <c r="C22" i="2"/>
  <c r="D22" i="2" s="1"/>
  <c r="E23" i="3" l="1"/>
  <c r="C22" i="3"/>
  <c r="D22" i="3" s="1"/>
  <c r="E24" i="2"/>
  <c r="C23" i="2"/>
  <c r="D23" i="2" s="1"/>
  <c r="E24" i="3" l="1"/>
  <c r="C23" i="3"/>
  <c r="D23" i="3" s="1"/>
  <c r="E25" i="2"/>
  <c r="C24" i="2"/>
  <c r="D24" i="2" s="1"/>
  <c r="E25" i="3" l="1"/>
  <c r="C24" i="3"/>
  <c r="D24" i="3" s="1"/>
  <c r="E26" i="2"/>
  <c r="C25" i="2"/>
  <c r="D25" i="2" s="1"/>
  <c r="E26" i="3" l="1"/>
  <c r="C25" i="3"/>
  <c r="D25" i="3" s="1"/>
  <c r="E27" i="2"/>
  <c r="C26" i="2"/>
  <c r="D26" i="2" s="1"/>
  <c r="C26" i="3" l="1"/>
  <c r="D26" i="3" s="1"/>
  <c r="E28" i="2"/>
  <c r="C27" i="2"/>
  <c r="D27" i="2" s="1"/>
  <c r="E29" i="2" l="1"/>
  <c r="C28" i="2"/>
  <c r="D28" i="2" s="1"/>
  <c r="E30" i="2" l="1"/>
  <c r="C29" i="2"/>
  <c r="D29" i="2" s="1"/>
  <c r="E31" i="2" l="1"/>
  <c r="C30" i="2"/>
  <c r="D30" i="2" s="1"/>
  <c r="E32" i="2" l="1"/>
  <c r="C31" i="2"/>
  <c r="D31" i="2" s="1"/>
  <c r="E33" i="2" l="1"/>
  <c r="C32" i="2"/>
  <c r="D32" i="2" s="1"/>
  <c r="E34" i="2" l="1"/>
  <c r="C33" i="2"/>
  <c r="D33" i="2" s="1"/>
  <c r="E35" i="2" l="1"/>
  <c r="C34" i="2"/>
  <c r="D34" i="2" s="1"/>
  <c r="E36" i="2" l="1"/>
  <c r="C35" i="2"/>
  <c r="D35" i="2" s="1"/>
  <c r="E37" i="2" l="1"/>
  <c r="C36" i="2"/>
  <c r="D36" i="2" s="1"/>
  <c r="E38" i="2" l="1"/>
  <c r="C37" i="2"/>
  <c r="D37" i="2" s="1"/>
  <c r="E39" i="2" l="1"/>
  <c r="C38" i="2"/>
  <c r="D38" i="2" s="1"/>
  <c r="E40" i="2" l="1"/>
  <c r="C39" i="2"/>
  <c r="D39" i="2" s="1"/>
  <c r="E41" i="2" l="1"/>
  <c r="C40" i="2"/>
  <c r="D40" i="2" s="1"/>
  <c r="E42" i="2" l="1"/>
  <c r="C41" i="2"/>
  <c r="D41" i="2" s="1"/>
  <c r="E43" i="2" l="1"/>
  <c r="C42" i="2"/>
  <c r="D42" i="2" s="1"/>
  <c r="E44" i="2" l="1"/>
  <c r="C43" i="2"/>
  <c r="D43" i="2" s="1"/>
  <c r="E45" i="2" l="1"/>
  <c r="C44" i="2"/>
  <c r="D44" i="2" s="1"/>
  <c r="E46" i="2" l="1"/>
  <c r="C45" i="2"/>
  <c r="D45" i="2" s="1"/>
  <c r="E47" i="2" l="1"/>
  <c r="C46" i="2"/>
  <c r="D46" i="2" s="1"/>
  <c r="E48" i="2" l="1"/>
  <c r="C47" i="2"/>
  <c r="D47" i="2" s="1"/>
  <c r="E49" i="2" l="1"/>
  <c r="C48" i="2"/>
  <c r="D48" i="2" s="1"/>
  <c r="E50" i="2" l="1"/>
  <c r="C49" i="2"/>
  <c r="D49" i="2" s="1"/>
  <c r="E51" i="2" l="1"/>
  <c r="C50" i="2"/>
  <c r="D50" i="2" s="1"/>
  <c r="E52" i="2" l="1"/>
  <c r="C51" i="2"/>
  <c r="D51" i="2" s="1"/>
  <c r="E53" i="2" l="1"/>
  <c r="C52" i="2"/>
  <c r="D52" i="2" s="1"/>
  <c r="E54" i="2" l="1"/>
  <c r="C53" i="2"/>
  <c r="D53" i="2" s="1"/>
  <c r="E55" i="2" l="1"/>
  <c r="C54" i="2"/>
  <c r="D54" i="2" s="1"/>
  <c r="E56" i="2" l="1"/>
  <c r="C55" i="2"/>
  <c r="D55" i="2" s="1"/>
  <c r="E57" i="2" l="1"/>
  <c r="C56" i="2"/>
  <c r="D56" i="2" s="1"/>
  <c r="E58" i="2" l="1"/>
  <c r="C57" i="2"/>
  <c r="D57" i="2" s="1"/>
  <c r="E59" i="2" l="1"/>
  <c r="C58" i="2"/>
  <c r="D58" i="2" s="1"/>
  <c r="E60" i="2" l="1"/>
  <c r="C59" i="2"/>
  <c r="D59" i="2" s="1"/>
  <c r="E61" i="2" l="1"/>
  <c r="C60" i="2"/>
  <c r="D60" i="2" s="1"/>
  <c r="E62" i="2" l="1"/>
  <c r="C62" i="2" s="1"/>
  <c r="D62" i="2" s="1"/>
  <c r="C61" i="2"/>
  <c r="D61" i="2" s="1"/>
  <c r="H7" i="2" l="1"/>
  <c r="H7" i="3" l="1"/>
</calcChain>
</file>

<file path=xl/sharedStrings.xml><?xml version="1.0" encoding="utf-8"?>
<sst xmlns="http://schemas.openxmlformats.org/spreadsheetml/2006/main" count="40" uniqueCount="17">
  <si>
    <t>Tháng</t>
  </si>
  <si>
    <t>Gốc còn lại</t>
  </si>
  <si>
    <t>Gốc và lãi trả tháng này</t>
  </si>
  <si>
    <t>Lãi suất năm</t>
  </si>
  <si>
    <t>Vay bao nhiêu tháng</t>
  </si>
  <si>
    <t>Lãi suất tháng</t>
  </si>
  <si>
    <t>Gốc vay</t>
  </si>
  <si>
    <t>Gốc trả hàng tháng</t>
  </si>
  <si>
    <t>Gốc trả tháng này</t>
  </si>
  <si>
    <t>Lãi trả tháng này</t>
  </si>
  <si>
    <t>Tổng gốc và lãi phải trả</t>
  </si>
  <si>
    <t>Tổng gốc và lãi 36 tháng đầu</t>
  </si>
  <si>
    <t>Trả nợ phần gốc còn lại</t>
  </si>
  <si>
    <t>Tất toán sau 8 tháng</t>
  </si>
  <si>
    <t>Tổng gốc và lãi sau 8 tháng</t>
  </si>
  <si>
    <t>Phạt 3%</t>
  </si>
  <si>
    <t>Phí vay ngân hàng mới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</si>
</sst>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0" fillId="0" borderId="0" xfId="0" applyBorder="1"/>
    <xf numFmtId="3" fontId="0" fillId="0" borderId="0" xfId="0" applyNumberFormat="1" applyBorder="1"/>
    <xf numFmtId="10" fontId="0" fillId="0" borderId="0" xfId="0" applyNumberFormat="1" applyBorder="1"/>
    <xf numFmtId="0" fontId="1" fillId="0" borderId="1" xfId="0" applyFont="1" applyFill="1" applyBorder="1"/>
    <xf numFmtId="3" fontId="1" fillId="0" borderId="1" xfId="0" applyNumberFormat="1" applyFont="1" applyFill="1" applyBorder="1"/>
    <xf numFmtId="0" fontId="1" fillId="0" borderId="0" xfId="0" applyFont="1" applyFill="1" applyBorder="1"/>
    <xf numFmtId="3" fontId="0" fillId="0" borderId="0" xfId="0" applyNumberFormat="1"/>
    <xf numFmtId="0" fontId="1" fillId="2" borderId="0" xfId="0" applyFont="1" applyFill="1" applyBorder="1"/>
    <xf numFmtId="3" fontId="0" fillId="2" borderId="0" xfId="0" applyNumberFormat="1" applyFill="1"/>
    <xf numFmtId="0" fontId="0" fillId="2" borderId="0" xfId="0" applyFill="1"/>
    <xf numFmtId="3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workbookViewId="0">
      <selection activeCell="G15" sqref="G15"/>
    </sheetView>
  </sheetViews>
  <sheetFormatPr defaultRowHeight="14.5" x14ac:dyDescent="0.35"/>
  <cols>
    <col min="1" max="1" width="5.90625" bestFit="1" customWidth="1"/>
    <col min="2" max="2" width="15.7265625" bestFit="1" customWidth="1"/>
    <col min="3" max="3" width="14.81640625" bestFit="1" customWidth="1"/>
    <col min="4" max="4" width="20.36328125" bestFit="1" customWidth="1"/>
    <col min="5" max="5" width="12.453125" bestFit="1" customWidth="1"/>
    <col min="7" max="7" width="20.08984375" bestFit="1" customWidth="1"/>
    <col min="8" max="8" width="15.08984375" customWidth="1"/>
    <col min="9" max="9" width="9.1796875" customWidth="1"/>
    <col min="10" max="10" width="16.6328125" bestFit="1" customWidth="1"/>
    <col min="11" max="11" width="10.81640625" bestFit="1" customWidth="1"/>
  </cols>
  <sheetData>
    <row r="1" spans="1:11" x14ac:dyDescent="0.35">
      <c r="A1" s="1" t="s">
        <v>0</v>
      </c>
      <c r="B1" s="1" t="s">
        <v>8</v>
      </c>
      <c r="C1" s="1" t="s">
        <v>9</v>
      </c>
      <c r="D1" s="1" t="s">
        <v>2</v>
      </c>
      <c r="E1" s="8" t="s">
        <v>1</v>
      </c>
      <c r="I1" s="6"/>
    </row>
    <row r="2" spans="1:11" x14ac:dyDescent="0.35">
      <c r="A2" s="1"/>
      <c r="B2" s="1"/>
      <c r="C2" s="1"/>
      <c r="D2" s="1"/>
      <c r="E2" s="9">
        <f>H2</f>
        <v>1100000000</v>
      </c>
      <c r="G2" s="1" t="s">
        <v>6</v>
      </c>
      <c r="H2" s="3">
        <v>1100000000</v>
      </c>
      <c r="I2" s="6"/>
      <c r="J2" s="1" t="s">
        <v>7</v>
      </c>
      <c r="K2" s="3">
        <f>H2/H4</f>
        <v>18333333.333333332</v>
      </c>
    </row>
    <row r="3" spans="1:11" x14ac:dyDescent="0.35">
      <c r="A3" s="2">
        <v>1</v>
      </c>
      <c r="B3" s="3">
        <f>$K$2</f>
        <v>18333333.333333332</v>
      </c>
      <c r="C3" s="3">
        <f>$K$3*E3</f>
        <v>8653333.333333334</v>
      </c>
      <c r="D3" s="3">
        <f>SUM(B3:C3)</f>
        <v>26986666.666666664</v>
      </c>
      <c r="E3" s="3">
        <f>E2-B3</f>
        <v>1081666666.6666667</v>
      </c>
      <c r="G3" s="1" t="s">
        <v>3</v>
      </c>
      <c r="H3" s="4">
        <v>9.6000000000000002E-2</v>
      </c>
      <c r="I3" s="7"/>
      <c r="J3" s="1" t="s">
        <v>5</v>
      </c>
      <c r="K3" s="4">
        <f>H3/12</f>
        <v>8.0000000000000002E-3</v>
      </c>
    </row>
    <row r="4" spans="1:11" x14ac:dyDescent="0.35">
      <c r="A4" s="2">
        <v>2</v>
      </c>
      <c r="B4" s="3">
        <f>$K$2</f>
        <v>18333333.333333332</v>
      </c>
      <c r="C4" s="3">
        <f t="shared" ref="C4:C67" si="0">$K$3*E4</f>
        <v>8506666.6666666679</v>
      </c>
      <c r="D4" s="3">
        <f t="shared" ref="D4:D67" si="1">SUM(B4:C4)</f>
        <v>26840000</v>
      </c>
      <c r="E4" s="3">
        <f t="shared" ref="E4:E67" si="2">E3-B4</f>
        <v>1063333333.3333334</v>
      </c>
      <c r="G4" s="1" t="s">
        <v>4</v>
      </c>
      <c r="H4" s="2">
        <v>60</v>
      </c>
      <c r="I4" s="5"/>
    </row>
    <row r="5" spans="1:11" x14ac:dyDescent="0.35">
      <c r="A5" s="2">
        <v>3</v>
      </c>
      <c r="B5" s="3">
        <f>$K$2</f>
        <v>18333333.333333332</v>
      </c>
      <c r="C5" s="3">
        <f t="shared" si="0"/>
        <v>8360000</v>
      </c>
      <c r="D5" s="3">
        <f t="shared" si="1"/>
        <v>26693333.333333332</v>
      </c>
      <c r="E5" s="3">
        <f t="shared" si="2"/>
        <v>1045000000</v>
      </c>
    </row>
    <row r="6" spans="1:11" x14ac:dyDescent="0.35">
      <c r="A6" s="2">
        <v>4</v>
      </c>
      <c r="B6" s="3">
        <f>$K$2</f>
        <v>18333333.333333332</v>
      </c>
      <c r="C6" s="3">
        <f t="shared" si="0"/>
        <v>8213333.333333333</v>
      </c>
      <c r="D6" s="3">
        <f t="shared" si="1"/>
        <v>26546666.666666664</v>
      </c>
      <c r="E6" s="3">
        <f t="shared" si="2"/>
        <v>1026666666.6666666</v>
      </c>
    </row>
    <row r="7" spans="1:11" x14ac:dyDescent="0.35">
      <c r="A7" s="2">
        <v>5</v>
      </c>
      <c r="B7" s="3">
        <f>$K$2</f>
        <v>18333333.333333332</v>
      </c>
      <c r="C7" s="3">
        <f t="shared" si="0"/>
        <v>8066666.666666666</v>
      </c>
      <c r="D7" s="3">
        <f t="shared" si="1"/>
        <v>26400000</v>
      </c>
      <c r="E7" s="3">
        <f t="shared" si="2"/>
        <v>1008333333.3333333</v>
      </c>
      <c r="G7" s="8" t="s">
        <v>10</v>
      </c>
      <c r="H7" s="3">
        <f>SUM(D3:D102)</f>
        <v>1359600000</v>
      </c>
    </row>
    <row r="8" spans="1:11" x14ac:dyDescent="0.35">
      <c r="A8" s="2">
        <v>6</v>
      </c>
      <c r="B8" s="3">
        <f>$K$2</f>
        <v>18333333.333333332</v>
      </c>
      <c r="C8" s="3">
        <f t="shared" si="0"/>
        <v>7919999.9999999991</v>
      </c>
      <c r="D8" s="3">
        <f t="shared" si="1"/>
        <v>26253333.333333332</v>
      </c>
      <c r="E8" s="3">
        <f t="shared" si="2"/>
        <v>989999999.99999988</v>
      </c>
    </row>
    <row r="9" spans="1:11" x14ac:dyDescent="0.35">
      <c r="A9" s="2">
        <v>7</v>
      </c>
      <c r="B9" s="3">
        <f>$K$2</f>
        <v>18333333.333333332</v>
      </c>
      <c r="C9" s="3">
        <f t="shared" si="0"/>
        <v>7773333.3333333321</v>
      </c>
      <c r="D9" s="3">
        <f t="shared" si="1"/>
        <v>26106666.666666664</v>
      </c>
      <c r="E9" s="3">
        <f t="shared" si="2"/>
        <v>971666666.66666651</v>
      </c>
    </row>
    <row r="10" spans="1:11" x14ac:dyDescent="0.35">
      <c r="A10" s="2">
        <v>8</v>
      </c>
      <c r="B10" s="3">
        <f>$K$2</f>
        <v>18333333.333333332</v>
      </c>
      <c r="C10" s="3">
        <f t="shared" si="0"/>
        <v>7626666.6666666651</v>
      </c>
      <c r="D10" s="3">
        <f t="shared" si="1"/>
        <v>25959999.999999996</v>
      </c>
      <c r="E10" s="3">
        <f t="shared" si="2"/>
        <v>953333333.33333313</v>
      </c>
    </row>
    <row r="11" spans="1:11" x14ac:dyDescent="0.35">
      <c r="A11" s="2">
        <v>9</v>
      </c>
      <c r="B11" s="3">
        <f>$K$2</f>
        <v>18333333.333333332</v>
      </c>
      <c r="C11" s="3">
        <f t="shared" si="0"/>
        <v>7479999.9999999981</v>
      </c>
      <c r="D11" s="3">
        <f t="shared" si="1"/>
        <v>25813333.333333328</v>
      </c>
      <c r="E11" s="3">
        <f t="shared" si="2"/>
        <v>934999999.99999976</v>
      </c>
    </row>
    <row r="12" spans="1:11" x14ac:dyDescent="0.35">
      <c r="A12" s="2">
        <v>10</v>
      </c>
      <c r="B12" s="3">
        <f>$K$2</f>
        <v>18333333.333333332</v>
      </c>
      <c r="C12" s="3">
        <f t="shared" si="0"/>
        <v>7333333.3333333312</v>
      </c>
      <c r="D12" s="3">
        <f t="shared" si="1"/>
        <v>25666666.666666664</v>
      </c>
      <c r="E12" s="3">
        <f t="shared" si="2"/>
        <v>916666666.66666639</v>
      </c>
    </row>
    <row r="13" spans="1:11" x14ac:dyDescent="0.35">
      <c r="A13" s="2">
        <v>11</v>
      </c>
      <c r="B13" s="3">
        <f>$K$2</f>
        <v>18333333.333333332</v>
      </c>
      <c r="C13" s="3">
        <f t="shared" si="0"/>
        <v>7186666.6666666642</v>
      </c>
      <c r="D13" s="3">
        <f t="shared" si="1"/>
        <v>25519999.999999996</v>
      </c>
      <c r="E13" s="3">
        <f t="shared" si="2"/>
        <v>898333333.33333302</v>
      </c>
    </row>
    <row r="14" spans="1:11" x14ac:dyDescent="0.35">
      <c r="A14" s="2">
        <v>12</v>
      </c>
      <c r="B14" s="3">
        <f>$K$2</f>
        <v>18333333.333333332</v>
      </c>
      <c r="C14" s="3">
        <f t="shared" si="0"/>
        <v>7039999.9999999972</v>
      </c>
      <c r="D14" s="3">
        <f t="shared" si="1"/>
        <v>25373333.333333328</v>
      </c>
      <c r="E14" s="3">
        <f t="shared" si="2"/>
        <v>879999999.99999964</v>
      </c>
    </row>
    <row r="15" spans="1:11" x14ac:dyDescent="0.35">
      <c r="A15" s="2">
        <v>13</v>
      </c>
      <c r="B15" s="3">
        <f>$K$2</f>
        <v>18333333.333333332</v>
      </c>
      <c r="C15" s="3">
        <f t="shared" si="0"/>
        <v>6893333.3333333302</v>
      </c>
      <c r="D15" s="3">
        <f t="shared" si="1"/>
        <v>25226666.666666664</v>
      </c>
      <c r="E15" s="3">
        <f t="shared" si="2"/>
        <v>861666666.66666627</v>
      </c>
    </row>
    <row r="16" spans="1:11" x14ac:dyDescent="0.35">
      <c r="A16" s="2">
        <v>14</v>
      </c>
      <c r="B16" s="3">
        <f>$K$2</f>
        <v>18333333.333333332</v>
      </c>
      <c r="C16" s="3">
        <f t="shared" si="0"/>
        <v>6746666.6666666633</v>
      </c>
      <c r="D16" s="3">
        <f t="shared" si="1"/>
        <v>25079999.999999996</v>
      </c>
      <c r="E16" s="3">
        <f t="shared" si="2"/>
        <v>843333333.3333329</v>
      </c>
    </row>
    <row r="17" spans="1:5" x14ac:dyDescent="0.35">
      <c r="A17" s="2">
        <v>15</v>
      </c>
      <c r="B17" s="3">
        <f>$K$2</f>
        <v>18333333.333333332</v>
      </c>
      <c r="C17" s="3">
        <f t="shared" si="0"/>
        <v>6599999.9999999963</v>
      </c>
      <c r="D17" s="3">
        <f t="shared" si="1"/>
        <v>24933333.333333328</v>
      </c>
      <c r="E17" s="3">
        <f t="shared" si="2"/>
        <v>824999999.99999952</v>
      </c>
    </row>
    <row r="18" spans="1:5" x14ac:dyDescent="0.35">
      <c r="A18" s="2">
        <v>16</v>
      </c>
      <c r="B18" s="3">
        <f>$K$2</f>
        <v>18333333.333333332</v>
      </c>
      <c r="C18" s="3">
        <f t="shared" si="0"/>
        <v>6453333.3333333293</v>
      </c>
      <c r="D18" s="3">
        <f t="shared" si="1"/>
        <v>24786666.66666666</v>
      </c>
      <c r="E18" s="3">
        <f t="shared" si="2"/>
        <v>806666666.66666615</v>
      </c>
    </row>
    <row r="19" spans="1:5" x14ac:dyDescent="0.35">
      <c r="A19" s="2">
        <v>17</v>
      </c>
      <c r="B19" s="3">
        <f>$K$2</f>
        <v>18333333.333333332</v>
      </c>
      <c r="C19" s="3">
        <f t="shared" si="0"/>
        <v>6306666.6666666623</v>
      </c>
      <c r="D19" s="3">
        <f t="shared" si="1"/>
        <v>24639999.999999993</v>
      </c>
      <c r="E19" s="3">
        <f t="shared" si="2"/>
        <v>788333333.33333278</v>
      </c>
    </row>
    <row r="20" spans="1:5" x14ac:dyDescent="0.35">
      <c r="A20" s="2">
        <v>18</v>
      </c>
      <c r="B20" s="3">
        <f>$K$2</f>
        <v>18333333.333333332</v>
      </c>
      <c r="C20" s="3">
        <f t="shared" si="0"/>
        <v>6159999.9999999953</v>
      </c>
      <c r="D20" s="3">
        <f t="shared" si="1"/>
        <v>24493333.333333328</v>
      </c>
      <c r="E20" s="3">
        <f t="shared" si="2"/>
        <v>769999999.9999994</v>
      </c>
    </row>
    <row r="21" spans="1:5" x14ac:dyDescent="0.35">
      <c r="A21" s="2">
        <v>19</v>
      </c>
      <c r="B21" s="3">
        <f>$K$2</f>
        <v>18333333.333333332</v>
      </c>
      <c r="C21" s="3">
        <f t="shared" si="0"/>
        <v>6013333.3333333284</v>
      </c>
      <c r="D21" s="3">
        <f t="shared" si="1"/>
        <v>24346666.66666666</v>
      </c>
      <c r="E21" s="3">
        <f t="shared" si="2"/>
        <v>751666666.66666603</v>
      </c>
    </row>
    <row r="22" spans="1:5" x14ac:dyDescent="0.35">
      <c r="A22" s="2">
        <v>20</v>
      </c>
      <c r="B22" s="3">
        <f>$K$2</f>
        <v>18333333.333333332</v>
      </c>
      <c r="C22" s="3">
        <f t="shared" si="0"/>
        <v>5866666.6666666614</v>
      </c>
      <c r="D22" s="3">
        <f t="shared" si="1"/>
        <v>24199999.999999993</v>
      </c>
      <c r="E22" s="3">
        <f t="shared" si="2"/>
        <v>733333333.33333266</v>
      </c>
    </row>
    <row r="23" spans="1:5" x14ac:dyDescent="0.35">
      <c r="A23" s="2">
        <v>21</v>
      </c>
      <c r="B23" s="3">
        <f>$K$2</f>
        <v>18333333.333333332</v>
      </c>
      <c r="C23" s="3">
        <f t="shared" si="0"/>
        <v>5719999.9999999944</v>
      </c>
      <c r="D23" s="3">
        <f t="shared" si="1"/>
        <v>24053333.333333328</v>
      </c>
      <c r="E23" s="3">
        <f t="shared" si="2"/>
        <v>714999999.99999928</v>
      </c>
    </row>
    <row r="24" spans="1:5" x14ac:dyDescent="0.35">
      <c r="A24" s="2">
        <v>22</v>
      </c>
      <c r="B24" s="3">
        <f>$K$2</f>
        <v>18333333.333333332</v>
      </c>
      <c r="C24" s="3">
        <f t="shared" si="0"/>
        <v>5573333.3333333274</v>
      </c>
      <c r="D24" s="3">
        <f t="shared" si="1"/>
        <v>23906666.66666666</v>
      </c>
      <c r="E24" s="3">
        <f t="shared" si="2"/>
        <v>696666666.66666591</v>
      </c>
    </row>
    <row r="25" spans="1:5" x14ac:dyDescent="0.35">
      <c r="A25" s="2">
        <v>23</v>
      </c>
      <c r="B25" s="3">
        <f>$K$2</f>
        <v>18333333.333333332</v>
      </c>
      <c r="C25" s="3">
        <f t="shared" si="0"/>
        <v>5426666.6666666605</v>
      </c>
      <c r="D25" s="3">
        <f t="shared" si="1"/>
        <v>23759999.999999993</v>
      </c>
      <c r="E25" s="3">
        <f t="shared" si="2"/>
        <v>678333333.33333254</v>
      </c>
    </row>
    <row r="26" spans="1:5" x14ac:dyDescent="0.35">
      <c r="A26" s="2">
        <v>24</v>
      </c>
      <c r="B26" s="3">
        <f>$K$2</f>
        <v>18333333.333333332</v>
      </c>
      <c r="C26" s="3">
        <f t="shared" si="0"/>
        <v>5279999.9999999935</v>
      </c>
      <c r="D26" s="3">
        <f t="shared" si="1"/>
        <v>23613333.333333325</v>
      </c>
      <c r="E26" s="3">
        <f t="shared" si="2"/>
        <v>659999999.99999917</v>
      </c>
    </row>
    <row r="27" spans="1:5" x14ac:dyDescent="0.35">
      <c r="A27" s="2">
        <v>25</v>
      </c>
      <c r="B27" s="3">
        <f>$K$2</f>
        <v>18333333.333333332</v>
      </c>
      <c r="C27" s="3">
        <f t="shared" si="0"/>
        <v>5133333.3333333265</v>
      </c>
      <c r="D27" s="3">
        <f t="shared" si="1"/>
        <v>23466666.666666657</v>
      </c>
      <c r="E27" s="3">
        <f t="shared" si="2"/>
        <v>641666666.66666579</v>
      </c>
    </row>
    <row r="28" spans="1:5" x14ac:dyDescent="0.35">
      <c r="A28" s="2">
        <v>26</v>
      </c>
      <c r="B28" s="3">
        <f>$K$2</f>
        <v>18333333.333333332</v>
      </c>
      <c r="C28" s="3">
        <f t="shared" si="0"/>
        <v>4986666.6666666595</v>
      </c>
      <c r="D28" s="3">
        <f t="shared" si="1"/>
        <v>23319999.999999993</v>
      </c>
      <c r="E28" s="3">
        <f t="shared" si="2"/>
        <v>623333333.33333242</v>
      </c>
    </row>
    <row r="29" spans="1:5" x14ac:dyDescent="0.35">
      <c r="A29" s="2">
        <v>27</v>
      </c>
      <c r="B29" s="3">
        <f>$K$2</f>
        <v>18333333.333333332</v>
      </c>
      <c r="C29" s="3">
        <f t="shared" si="0"/>
        <v>4839999.9999999925</v>
      </c>
      <c r="D29" s="3">
        <f t="shared" si="1"/>
        <v>23173333.333333325</v>
      </c>
      <c r="E29" s="3">
        <f t="shared" si="2"/>
        <v>604999999.99999905</v>
      </c>
    </row>
    <row r="30" spans="1:5" x14ac:dyDescent="0.35">
      <c r="A30" s="2">
        <v>28</v>
      </c>
      <c r="B30" s="3">
        <f>$K$2</f>
        <v>18333333.333333332</v>
      </c>
      <c r="C30" s="3">
        <f t="shared" si="0"/>
        <v>4693333.3333333256</v>
      </c>
      <c r="D30" s="3">
        <f t="shared" si="1"/>
        <v>23026666.666666657</v>
      </c>
      <c r="E30" s="3">
        <f t="shared" si="2"/>
        <v>586666666.66666567</v>
      </c>
    </row>
    <row r="31" spans="1:5" x14ac:dyDescent="0.35">
      <c r="A31" s="2">
        <v>29</v>
      </c>
      <c r="B31" s="3">
        <f>$K$2</f>
        <v>18333333.333333332</v>
      </c>
      <c r="C31" s="3">
        <f t="shared" si="0"/>
        <v>4546666.6666666586</v>
      </c>
      <c r="D31" s="3">
        <f t="shared" si="1"/>
        <v>22879999.999999993</v>
      </c>
      <c r="E31" s="3">
        <f t="shared" si="2"/>
        <v>568333333.3333323</v>
      </c>
    </row>
    <row r="32" spans="1:5" x14ac:dyDescent="0.35">
      <c r="A32" s="2">
        <v>30</v>
      </c>
      <c r="B32" s="3">
        <f>$K$2</f>
        <v>18333333.333333332</v>
      </c>
      <c r="C32" s="3">
        <f t="shared" si="0"/>
        <v>4399999.9999999916</v>
      </c>
      <c r="D32" s="3">
        <f t="shared" si="1"/>
        <v>22733333.333333325</v>
      </c>
      <c r="E32" s="3">
        <f t="shared" si="2"/>
        <v>549999999.99999893</v>
      </c>
    </row>
    <row r="33" spans="1:5" x14ac:dyDescent="0.35">
      <c r="A33" s="2">
        <v>31</v>
      </c>
      <c r="B33" s="3">
        <f>$K$2</f>
        <v>18333333.333333332</v>
      </c>
      <c r="C33" s="3">
        <f t="shared" si="0"/>
        <v>4253333.3333333246</v>
      </c>
      <c r="D33" s="3">
        <f t="shared" si="1"/>
        <v>22586666.666666657</v>
      </c>
      <c r="E33" s="3">
        <f t="shared" si="2"/>
        <v>531666666.66666561</v>
      </c>
    </row>
    <row r="34" spans="1:5" x14ac:dyDescent="0.35">
      <c r="A34" s="2">
        <v>32</v>
      </c>
      <c r="B34" s="3">
        <f>$K$2</f>
        <v>18333333.333333332</v>
      </c>
      <c r="C34" s="3">
        <f t="shared" si="0"/>
        <v>4106666.6666666586</v>
      </c>
      <c r="D34" s="3">
        <f t="shared" si="1"/>
        <v>22439999.999999993</v>
      </c>
      <c r="E34" s="3">
        <f t="shared" si="2"/>
        <v>513333333.3333323</v>
      </c>
    </row>
    <row r="35" spans="1:5" x14ac:dyDescent="0.35">
      <c r="A35" s="2">
        <v>33</v>
      </c>
      <c r="B35" s="3">
        <f>$K$2</f>
        <v>18333333.333333332</v>
      </c>
      <c r="C35" s="3">
        <f t="shared" si="0"/>
        <v>3959999.9999999921</v>
      </c>
      <c r="D35" s="3">
        <f t="shared" si="1"/>
        <v>22293333.333333325</v>
      </c>
      <c r="E35" s="3">
        <f t="shared" si="2"/>
        <v>494999999.99999899</v>
      </c>
    </row>
    <row r="36" spans="1:5" x14ac:dyDescent="0.35">
      <c r="A36" s="2">
        <v>34</v>
      </c>
      <c r="B36" s="3">
        <f>$K$2</f>
        <v>18333333.333333332</v>
      </c>
      <c r="C36" s="3">
        <f t="shared" si="0"/>
        <v>3813333.3333333256</v>
      </c>
      <c r="D36" s="3">
        <f t="shared" si="1"/>
        <v>22146666.666666657</v>
      </c>
      <c r="E36" s="3">
        <f t="shared" si="2"/>
        <v>476666666.66666567</v>
      </c>
    </row>
    <row r="37" spans="1:5" x14ac:dyDescent="0.35">
      <c r="A37" s="2">
        <v>35</v>
      </c>
      <c r="B37" s="3">
        <f>$K$2</f>
        <v>18333333.333333332</v>
      </c>
      <c r="C37" s="3">
        <f t="shared" si="0"/>
        <v>3666666.6666666591</v>
      </c>
      <c r="D37" s="3">
        <f t="shared" si="1"/>
        <v>21999999.999999993</v>
      </c>
      <c r="E37" s="3">
        <f t="shared" si="2"/>
        <v>458333333.33333236</v>
      </c>
    </row>
    <row r="38" spans="1:5" x14ac:dyDescent="0.35">
      <c r="A38" s="2">
        <v>36</v>
      </c>
      <c r="B38" s="3">
        <f>$K$2</f>
        <v>18333333.333333332</v>
      </c>
      <c r="C38" s="3">
        <f t="shared" si="0"/>
        <v>3519999.9999999925</v>
      </c>
      <c r="D38" s="3">
        <f t="shared" si="1"/>
        <v>21853333.333333325</v>
      </c>
      <c r="E38" s="3">
        <f t="shared" si="2"/>
        <v>439999999.99999905</v>
      </c>
    </row>
    <row r="39" spans="1:5" x14ac:dyDescent="0.35">
      <c r="A39" s="2">
        <v>37</v>
      </c>
      <c r="B39" s="3">
        <f>$K$2</f>
        <v>18333333.333333332</v>
      </c>
      <c r="C39" s="3">
        <f t="shared" si="0"/>
        <v>3373333.333333326</v>
      </c>
      <c r="D39" s="3">
        <f t="shared" si="1"/>
        <v>21706666.666666657</v>
      </c>
      <c r="E39" s="3">
        <f t="shared" si="2"/>
        <v>421666666.66666573</v>
      </c>
    </row>
    <row r="40" spans="1:5" x14ac:dyDescent="0.35">
      <c r="A40" s="2">
        <v>38</v>
      </c>
      <c r="B40" s="3">
        <f>$K$2</f>
        <v>18333333.333333332</v>
      </c>
      <c r="C40" s="3">
        <f t="shared" si="0"/>
        <v>3226666.6666666595</v>
      </c>
      <c r="D40" s="3">
        <f t="shared" si="1"/>
        <v>21559999.999999993</v>
      </c>
      <c r="E40" s="3">
        <f t="shared" si="2"/>
        <v>403333333.33333242</v>
      </c>
    </row>
    <row r="41" spans="1:5" x14ac:dyDescent="0.35">
      <c r="A41" s="2">
        <v>39</v>
      </c>
      <c r="B41" s="3">
        <f>$K$2</f>
        <v>18333333.333333332</v>
      </c>
      <c r="C41" s="3">
        <f t="shared" si="0"/>
        <v>3079999.999999993</v>
      </c>
      <c r="D41" s="3">
        <f t="shared" si="1"/>
        <v>21413333.333333325</v>
      </c>
      <c r="E41" s="3">
        <f t="shared" si="2"/>
        <v>384999999.99999911</v>
      </c>
    </row>
    <row r="42" spans="1:5" x14ac:dyDescent="0.35">
      <c r="A42" s="2">
        <v>40</v>
      </c>
      <c r="B42" s="3">
        <f>$K$2</f>
        <v>18333333.333333332</v>
      </c>
      <c r="C42" s="3">
        <f t="shared" si="0"/>
        <v>2933333.3333333265</v>
      </c>
      <c r="D42" s="3">
        <f t="shared" si="1"/>
        <v>21266666.666666657</v>
      </c>
      <c r="E42" s="3">
        <f t="shared" si="2"/>
        <v>366666666.66666579</v>
      </c>
    </row>
    <row r="43" spans="1:5" x14ac:dyDescent="0.35">
      <c r="A43" s="2">
        <v>41</v>
      </c>
      <c r="B43" s="3">
        <f>$K$2</f>
        <v>18333333.333333332</v>
      </c>
      <c r="C43" s="3">
        <f t="shared" si="0"/>
        <v>2786666.66666666</v>
      </c>
      <c r="D43" s="3">
        <f t="shared" si="1"/>
        <v>21119999.999999993</v>
      </c>
      <c r="E43" s="3">
        <f t="shared" si="2"/>
        <v>348333333.33333248</v>
      </c>
    </row>
    <row r="44" spans="1:5" x14ac:dyDescent="0.35">
      <c r="A44" s="2">
        <v>42</v>
      </c>
      <c r="B44" s="3">
        <f>$K$2</f>
        <v>18333333.333333332</v>
      </c>
      <c r="C44" s="3">
        <f t="shared" si="0"/>
        <v>2639999.9999999935</v>
      </c>
      <c r="D44" s="3">
        <f t="shared" si="1"/>
        <v>20973333.333333325</v>
      </c>
      <c r="E44" s="3">
        <f t="shared" si="2"/>
        <v>329999999.99999917</v>
      </c>
    </row>
    <row r="45" spans="1:5" x14ac:dyDescent="0.35">
      <c r="A45" s="2">
        <v>43</v>
      </c>
      <c r="B45" s="3">
        <f>$K$2</f>
        <v>18333333.333333332</v>
      </c>
      <c r="C45" s="3">
        <f t="shared" si="0"/>
        <v>2493333.333333327</v>
      </c>
      <c r="D45" s="3">
        <f t="shared" si="1"/>
        <v>20826666.66666666</v>
      </c>
      <c r="E45" s="3">
        <f t="shared" si="2"/>
        <v>311666666.66666585</v>
      </c>
    </row>
    <row r="46" spans="1:5" x14ac:dyDescent="0.35">
      <c r="A46" s="2">
        <v>44</v>
      </c>
      <c r="B46" s="3">
        <f>$K$2</f>
        <v>18333333.333333332</v>
      </c>
      <c r="C46" s="3">
        <f t="shared" si="0"/>
        <v>2346666.6666666605</v>
      </c>
      <c r="D46" s="3">
        <f t="shared" si="1"/>
        <v>20679999.999999993</v>
      </c>
      <c r="E46" s="3">
        <f t="shared" si="2"/>
        <v>293333333.33333254</v>
      </c>
    </row>
    <row r="47" spans="1:5" x14ac:dyDescent="0.35">
      <c r="A47" s="2">
        <v>45</v>
      </c>
      <c r="B47" s="3">
        <f>$K$2</f>
        <v>18333333.333333332</v>
      </c>
      <c r="C47" s="3">
        <f t="shared" si="0"/>
        <v>2199999.9999999939</v>
      </c>
      <c r="D47" s="3">
        <f t="shared" si="1"/>
        <v>20533333.333333325</v>
      </c>
      <c r="E47" s="3">
        <f t="shared" si="2"/>
        <v>274999999.99999923</v>
      </c>
    </row>
    <row r="48" spans="1:5" x14ac:dyDescent="0.35">
      <c r="A48" s="2">
        <v>46</v>
      </c>
      <c r="B48" s="3">
        <f>$K$2</f>
        <v>18333333.333333332</v>
      </c>
      <c r="C48" s="3">
        <f t="shared" si="0"/>
        <v>2053333.3333333272</v>
      </c>
      <c r="D48" s="3">
        <f t="shared" si="1"/>
        <v>20386666.66666666</v>
      </c>
      <c r="E48" s="3">
        <f t="shared" si="2"/>
        <v>256666666.66666588</v>
      </c>
    </row>
    <row r="49" spans="1:5" x14ac:dyDescent="0.35">
      <c r="A49" s="2">
        <v>47</v>
      </c>
      <c r="B49" s="3">
        <f>$K$2</f>
        <v>18333333.333333332</v>
      </c>
      <c r="C49" s="3">
        <f t="shared" si="0"/>
        <v>1906666.6666666605</v>
      </c>
      <c r="D49" s="3">
        <f t="shared" si="1"/>
        <v>20239999.999999993</v>
      </c>
      <c r="E49" s="3">
        <f t="shared" si="2"/>
        <v>238333333.33333254</v>
      </c>
    </row>
    <row r="50" spans="1:5" x14ac:dyDescent="0.35">
      <c r="A50" s="2">
        <v>48</v>
      </c>
      <c r="B50" s="3">
        <f>$K$2</f>
        <v>18333333.333333332</v>
      </c>
      <c r="C50" s="3">
        <f t="shared" si="0"/>
        <v>1759999.9999999937</v>
      </c>
      <c r="D50" s="3">
        <f t="shared" si="1"/>
        <v>20093333.333333325</v>
      </c>
      <c r="E50" s="3">
        <f t="shared" si="2"/>
        <v>219999999.9999992</v>
      </c>
    </row>
    <row r="51" spans="1:5" x14ac:dyDescent="0.35">
      <c r="A51" s="2">
        <v>49</v>
      </c>
      <c r="B51" s="3">
        <f>$K$2</f>
        <v>18333333.333333332</v>
      </c>
      <c r="C51" s="3">
        <f t="shared" si="0"/>
        <v>1613333.3333333267</v>
      </c>
      <c r="D51" s="3">
        <f t="shared" si="1"/>
        <v>19946666.66666666</v>
      </c>
      <c r="E51" s="3">
        <f t="shared" si="2"/>
        <v>201666666.66666585</v>
      </c>
    </row>
    <row r="52" spans="1:5" x14ac:dyDescent="0.35">
      <c r="A52" s="2">
        <v>50</v>
      </c>
      <c r="B52" s="3">
        <f>$K$2</f>
        <v>18333333.333333332</v>
      </c>
      <c r="C52" s="3">
        <f t="shared" si="0"/>
        <v>1466666.66666666</v>
      </c>
      <c r="D52" s="3">
        <f t="shared" si="1"/>
        <v>19799999.999999993</v>
      </c>
      <c r="E52" s="3">
        <f t="shared" si="2"/>
        <v>183333333.33333251</v>
      </c>
    </row>
    <row r="53" spans="1:5" x14ac:dyDescent="0.35">
      <c r="A53" s="2">
        <v>51</v>
      </c>
      <c r="B53" s="3">
        <f>$K$2</f>
        <v>18333333.333333332</v>
      </c>
      <c r="C53" s="3">
        <f t="shared" si="0"/>
        <v>1319999.9999999932</v>
      </c>
      <c r="D53" s="3">
        <f t="shared" si="1"/>
        <v>19653333.333333325</v>
      </c>
      <c r="E53" s="3">
        <f t="shared" si="2"/>
        <v>164999999.99999917</v>
      </c>
    </row>
    <row r="54" spans="1:5" x14ac:dyDescent="0.35">
      <c r="A54" s="2">
        <v>52</v>
      </c>
      <c r="B54" s="3">
        <f>$K$2</f>
        <v>18333333.333333332</v>
      </c>
      <c r="C54" s="3">
        <f t="shared" si="0"/>
        <v>1173333.3333333265</v>
      </c>
      <c r="D54" s="3">
        <f t="shared" si="1"/>
        <v>19506666.666666657</v>
      </c>
      <c r="E54" s="3">
        <f t="shared" si="2"/>
        <v>146666666.66666582</v>
      </c>
    </row>
    <row r="55" spans="1:5" x14ac:dyDescent="0.35">
      <c r="A55" s="2">
        <v>53</v>
      </c>
      <c r="B55" s="3">
        <f>$K$2</f>
        <v>18333333.333333332</v>
      </c>
      <c r="C55" s="3">
        <f t="shared" si="0"/>
        <v>1026666.66666666</v>
      </c>
      <c r="D55" s="3">
        <f t="shared" si="1"/>
        <v>19359999.999999993</v>
      </c>
      <c r="E55" s="3">
        <f t="shared" si="2"/>
        <v>128333333.33333249</v>
      </c>
    </row>
    <row r="56" spans="1:5" x14ac:dyDescent="0.35">
      <c r="A56" s="2">
        <v>54</v>
      </c>
      <c r="B56" s="3">
        <f>$K$2</f>
        <v>18333333.333333332</v>
      </c>
      <c r="C56" s="3">
        <f t="shared" si="0"/>
        <v>879999.99999999336</v>
      </c>
      <c r="D56" s="3">
        <f t="shared" si="1"/>
        <v>19213333.333333325</v>
      </c>
      <c r="E56" s="3">
        <f t="shared" si="2"/>
        <v>109999999.99999917</v>
      </c>
    </row>
    <row r="57" spans="1:5" x14ac:dyDescent="0.35">
      <c r="A57" s="2">
        <v>55</v>
      </c>
      <c r="B57" s="3">
        <f>$K$2</f>
        <v>18333333.333333332</v>
      </c>
      <c r="C57" s="3">
        <f t="shared" si="0"/>
        <v>733333.33333332674</v>
      </c>
      <c r="D57" s="3">
        <f t="shared" si="1"/>
        <v>19066666.66666666</v>
      </c>
      <c r="E57" s="3">
        <f t="shared" si="2"/>
        <v>91666666.666665837</v>
      </c>
    </row>
    <row r="58" spans="1:5" x14ac:dyDescent="0.35">
      <c r="A58" s="2">
        <v>56</v>
      </c>
      <c r="B58" s="3">
        <f>$K$2</f>
        <v>18333333.333333332</v>
      </c>
      <c r="C58" s="3">
        <f t="shared" si="0"/>
        <v>586666.66666666011</v>
      </c>
      <c r="D58" s="3">
        <f t="shared" si="1"/>
        <v>18919999.999999993</v>
      </c>
      <c r="E58" s="3">
        <f t="shared" si="2"/>
        <v>73333333.333332509</v>
      </c>
    </row>
    <row r="59" spans="1:5" x14ac:dyDescent="0.35">
      <c r="A59" s="2">
        <v>57</v>
      </c>
      <c r="B59" s="3">
        <f>$K$2</f>
        <v>18333333.333333332</v>
      </c>
      <c r="C59" s="3">
        <f t="shared" si="0"/>
        <v>439999.99999999348</v>
      </c>
      <c r="D59" s="3">
        <f t="shared" si="1"/>
        <v>18773333.333333325</v>
      </c>
      <c r="E59" s="3">
        <f t="shared" si="2"/>
        <v>54999999.99999918</v>
      </c>
    </row>
    <row r="60" spans="1:5" x14ac:dyDescent="0.35">
      <c r="A60" s="2">
        <v>58</v>
      </c>
      <c r="B60" s="3">
        <f>$K$2</f>
        <v>18333333.333333332</v>
      </c>
      <c r="C60" s="3">
        <f t="shared" si="0"/>
        <v>293333.33333332679</v>
      </c>
      <c r="D60" s="3">
        <f t="shared" si="1"/>
        <v>18626666.66666666</v>
      </c>
      <c r="E60" s="3">
        <f t="shared" si="2"/>
        <v>36666666.666665852</v>
      </c>
    </row>
    <row r="61" spans="1:5" x14ac:dyDescent="0.35">
      <c r="A61" s="2">
        <v>59</v>
      </c>
      <c r="B61" s="3">
        <f>$K$2</f>
        <v>18333333.333333332</v>
      </c>
      <c r="C61" s="3">
        <f t="shared" si="0"/>
        <v>146666.66666666017</v>
      </c>
      <c r="D61" s="3">
        <f t="shared" si="1"/>
        <v>18479999.999999993</v>
      </c>
      <c r="E61" s="3">
        <f t="shared" si="2"/>
        <v>18333333.33333252</v>
      </c>
    </row>
    <row r="62" spans="1:5" x14ac:dyDescent="0.35">
      <c r="A62" s="2">
        <v>60</v>
      </c>
      <c r="B62" s="3">
        <f>$K$2</f>
        <v>18333333.333333332</v>
      </c>
      <c r="C62" s="3">
        <f t="shared" si="0"/>
        <v>-6.4969062805175781E-9</v>
      </c>
      <c r="D62" s="3">
        <f t="shared" si="1"/>
        <v>18333333.333333325</v>
      </c>
      <c r="E62" s="3">
        <f t="shared" si="2"/>
        <v>-8.1211328506469727E-7</v>
      </c>
    </row>
    <row r="63" spans="1:5" x14ac:dyDescent="0.35">
      <c r="A63" s="2">
        <v>61</v>
      </c>
      <c r="B63" s="3"/>
      <c r="C63" s="3"/>
      <c r="D63" s="3">
        <f t="shared" si="1"/>
        <v>0</v>
      </c>
      <c r="E63" s="3"/>
    </row>
    <row r="64" spans="1:5" x14ac:dyDescent="0.35">
      <c r="A64" s="2">
        <v>62</v>
      </c>
      <c r="B64" s="3"/>
      <c r="C64" s="3"/>
      <c r="D64" s="3">
        <f t="shared" si="1"/>
        <v>0</v>
      </c>
      <c r="E64" s="3"/>
    </row>
    <row r="65" spans="1:5" x14ac:dyDescent="0.35">
      <c r="A65" s="2">
        <v>63</v>
      </c>
      <c r="B65" s="3"/>
      <c r="C65" s="3"/>
      <c r="D65" s="3">
        <f t="shared" si="1"/>
        <v>0</v>
      </c>
      <c r="E65" s="3"/>
    </row>
    <row r="66" spans="1:5" x14ac:dyDescent="0.35">
      <c r="A66" s="2">
        <v>64</v>
      </c>
      <c r="B66" s="3"/>
      <c r="C66" s="3"/>
      <c r="D66" s="3">
        <f t="shared" si="1"/>
        <v>0</v>
      </c>
      <c r="E66" s="3"/>
    </row>
    <row r="67" spans="1:5" x14ac:dyDescent="0.35">
      <c r="A67" s="2">
        <v>65</v>
      </c>
      <c r="B67" s="3"/>
      <c r="C67" s="3"/>
      <c r="D67" s="3">
        <f t="shared" si="1"/>
        <v>0</v>
      </c>
      <c r="E67" s="3"/>
    </row>
    <row r="68" spans="1:5" x14ac:dyDescent="0.35">
      <c r="A68" s="2">
        <v>66</v>
      </c>
      <c r="B68" s="3"/>
      <c r="C68" s="3"/>
      <c r="D68" s="3">
        <f t="shared" ref="D68:D102" si="3">SUM(B68:C68)</f>
        <v>0</v>
      </c>
      <c r="E68" s="3"/>
    </row>
    <row r="69" spans="1:5" x14ac:dyDescent="0.35">
      <c r="A69" s="2">
        <v>67</v>
      </c>
      <c r="B69" s="3"/>
      <c r="C69" s="3"/>
      <c r="D69" s="3">
        <f t="shared" si="3"/>
        <v>0</v>
      </c>
      <c r="E69" s="3"/>
    </row>
    <row r="70" spans="1:5" x14ac:dyDescent="0.35">
      <c r="A70" s="2">
        <v>68</v>
      </c>
      <c r="B70" s="3"/>
      <c r="C70" s="3"/>
      <c r="D70" s="3">
        <f t="shared" si="3"/>
        <v>0</v>
      </c>
      <c r="E70" s="3"/>
    </row>
    <row r="71" spans="1:5" x14ac:dyDescent="0.35">
      <c r="A71" s="2">
        <v>69</v>
      </c>
      <c r="B71" s="3"/>
      <c r="C71" s="3"/>
      <c r="D71" s="3">
        <f t="shared" si="3"/>
        <v>0</v>
      </c>
      <c r="E71" s="3"/>
    </row>
    <row r="72" spans="1:5" x14ac:dyDescent="0.35">
      <c r="A72" s="2">
        <v>70</v>
      </c>
      <c r="B72" s="3"/>
      <c r="C72" s="3"/>
      <c r="D72" s="3">
        <f t="shared" si="3"/>
        <v>0</v>
      </c>
      <c r="E72" s="3"/>
    </row>
    <row r="73" spans="1:5" x14ac:dyDescent="0.35">
      <c r="A73" s="2">
        <v>71</v>
      </c>
      <c r="B73" s="3"/>
      <c r="C73" s="3"/>
      <c r="D73" s="3">
        <f t="shared" si="3"/>
        <v>0</v>
      </c>
      <c r="E73" s="3"/>
    </row>
    <row r="74" spans="1:5" x14ac:dyDescent="0.35">
      <c r="A74" s="2">
        <v>72</v>
      </c>
      <c r="B74" s="3"/>
      <c r="C74" s="3"/>
      <c r="D74" s="3">
        <f t="shared" si="3"/>
        <v>0</v>
      </c>
      <c r="E74" s="3"/>
    </row>
    <row r="75" spans="1:5" x14ac:dyDescent="0.35">
      <c r="A75" s="2">
        <v>73</v>
      </c>
      <c r="B75" s="3"/>
      <c r="C75" s="3"/>
      <c r="D75" s="3">
        <f t="shared" si="3"/>
        <v>0</v>
      </c>
      <c r="E75" s="3"/>
    </row>
    <row r="76" spans="1:5" x14ac:dyDescent="0.35">
      <c r="A76" s="2">
        <v>74</v>
      </c>
      <c r="B76" s="3"/>
      <c r="C76" s="3"/>
      <c r="D76" s="3">
        <f t="shared" si="3"/>
        <v>0</v>
      </c>
      <c r="E76" s="3"/>
    </row>
    <row r="77" spans="1:5" x14ac:dyDescent="0.35">
      <c r="A77" s="2">
        <v>75</v>
      </c>
      <c r="B77" s="3"/>
      <c r="C77" s="3"/>
      <c r="D77" s="3">
        <f t="shared" si="3"/>
        <v>0</v>
      </c>
      <c r="E77" s="3"/>
    </row>
    <row r="78" spans="1:5" x14ac:dyDescent="0.35">
      <c r="A78" s="2">
        <v>76</v>
      </c>
      <c r="B78" s="3"/>
      <c r="C78" s="3"/>
      <c r="D78" s="3">
        <f t="shared" si="3"/>
        <v>0</v>
      </c>
      <c r="E78" s="3"/>
    </row>
    <row r="79" spans="1:5" x14ac:dyDescent="0.35">
      <c r="A79" s="2">
        <v>77</v>
      </c>
      <c r="B79" s="3"/>
      <c r="C79" s="3"/>
      <c r="D79" s="3">
        <f t="shared" si="3"/>
        <v>0</v>
      </c>
      <c r="E79" s="3"/>
    </row>
    <row r="80" spans="1:5" x14ac:dyDescent="0.35">
      <c r="A80" s="2">
        <v>78</v>
      </c>
      <c r="B80" s="3"/>
      <c r="C80" s="3"/>
      <c r="D80" s="3">
        <f t="shared" si="3"/>
        <v>0</v>
      </c>
      <c r="E80" s="3"/>
    </row>
    <row r="81" spans="1:5" x14ac:dyDescent="0.35">
      <c r="A81" s="2">
        <v>79</v>
      </c>
      <c r="B81" s="3"/>
      <c r="C81" s="3"/>
      <c r="D81" s="3">
        <f t="shared" si="3"/>
        <v>0</v>
      </c>
      <c r="E81" s="3"/>
    </row>
    <row r="82" spans="1:5" x14ac:dyDescent="0.35">
      <c r="A82" s="2">
        <v>80</v>
      </c>
      <c r="B82" s="3"/>
      <c r="C82" s="3"/>
      <c r="D82" s="3">
        <f t="shared" si="3"/>
        <v>0</v>
      </c>
      <c r="E82" s="3"/>
    </row>
    <row r="83" spans="1:5" x14ac:dyDescent="0.35">
      <c r="A83" s="2">
        <v>81</v>
      </c>
      <c r="B83" s="3"/>
      <c r="C83" s="3"/>
      <c r="D83" s="3">
        <f t="shared" si="3"/>
        <v>0</v>
      </c>
      <c r="E83" s="3"/>
    </row>
    <row r="84" spans="1:5" x14ac:dyDescent="0.35">
      <c r="A84" s="2">
        <v>82</v>
      </c>
      <c r="B84" s="3"/>
      <c r="C84" s="3"/>
      <c r="D84" s="3">
        <f t="shared" si="3"/>
        <v>0</v>
      </c>
      <c r="E84" s="3"/>
    </row>
    <row r="85" spans="1:5" x14ac:dyDescent="0.35">
      <c r="A85" s="2">
        <v>83</v>
      </c>
      <c r="B85" s="3"/>
      <c r="C85" s="3"/>
      <c r="D85" s="3">
        <f t="shared" si="3"/>
        <v>0</v>
      </c>
      <c r="E85" s="3"/>
    </row>
    <row r="86" spans="1:5" x14ac:dyDescent="0.35">
      <c r="A86" s="2">
        <v>84</v>
      </c>
      <c r="B86" s="3"/>
      <c r="C86" s="3"/>
      <c r="D86" s="3">
        <f t="shared" si="3"/>
        <v>0</v>
      </c>
      <c r="E86" s="3"/>
    </row>
    <row r="87" spans="1:5" x14ac:dyDescent="0.35">
      <c r="A87" s="2">
        <v>85</v>
      </c>
      <c r="B87" s="3"/>
      <c r="C87" s="3"/>
      <c r="D87" s="3">
        <f t="shared" si="3"/>
        <v>0</v>
      </c>
      <c r="E87" s="3"/>
    </row>
    <row r="88" spans="1:5" x14ac:dyDescent="0.35">
      <c r="A88" s="2">
        <v>86</v>
      </c>
      <c r="B88" s="3"/>
      <c r="C88" s="3"/>
      <c r="D88" s="3">
        <f t="shared" si="3"/>
        <v>0</v>
      </c>
      <c r="E88" s="3"/>
    </row>
    <row r="89" spans="1:5" x14ac:dyDescent="0.35">
      <c r="A89" s="2">
        <v>87</v>
      </c>
      <c r="B89" s="3"/>
      <c r="C89" s="3"/>
      <c r="D89" s="3">
        <f t="shared" si="3"/>
        <v>0</v>
      </c>
      <c r="E89" s="3"/>
    </row>
    <row r="90" spans="1:5" x14ac:dyDescent="0.35">
      <c r="A90" s="2">
        <v>88</v>
      </c>
      <c r="B90" s="3"/>
      <c r="C90" s="3"/>
      <c r="D90" s="3">
        <f t="shared" si="3"/>
        <v>0</v>
      </c>
      <c r="E90" s="3"/>
    </row>
    <row r="91" spans="1:5" x14ac:dyDescent="0.35">
      <c r="A91" s="2">
        <v>89</v>
      </c>
      <c r="B91" s="3"/>
      <c r="C91" s="3"/>
      <c r="D91" s="3">
        <f t="shared" si="3"/>
        <v>0</v>
      </c>
      <c r="E91" s="3"/>
    </row>
    <row r="92" spans="1:5" x14ac:dyDescent="0.35">
      <c r="A92" s="2">
        <v>90</v>
      </c>
      <c r="B92" s="3"/>
      <c r="C92" s="3"/>
      <c r="D92" s="3">
        <f t="shared" si="3"/>
        <v>0</v>
      </c>
      <c r="E92" s="3"/>
    </row>
    <row r="93" spans="1:5" x14ac:dyDescent="0.35">
      <c r="A93" s="2">
        <v>91</v>
      </c>
      <c r="B93" s="3"/>
      <c r="C93" s="3"/>
      <c r="D93" s="3">
        <f t="shared" si="3"/>
        <v>0</v>
      </c>
      <c r="E93" s="3"/>
    </row>
    <row r="94" spans="1:5" x14ac:dyDescent="0.35">
      <c r="A94" s="2">
        <v>92</v>
      </c>
      <c r="B94" s="3"/>
      <c r="C94" s="3"/>
      <c r="D94" s="3">
        <f t="shared" si="3"/>
        <v>0</v>
      </c>
      <c r="E94" s="3"/>
    </row>
    <row r="95" spans="1:5" x14ac:dyDescent="0.35">
      <c r="A95" s="2">
        <v>93</v>
      </c>
      <c r="B95" s="3"/>
      <c r="C95" s="3"/>
      <c r="D95" s="3">
        <f t="shared" si="3"/>
        <v>0</v>
      </c>
      <c r="E95" s="3"/>
    </row>
    <row r="96" spans="1:5" x14ac:dyDescent="0.35">
      <c r="A96" s="2">
        <v>94</v>
      </c>
      <c r="B96" s="3"/>
      <c r="C96" s="3"/>
      <c r="D96" s="3">
        <f t="shared" si="3"/>
        <v>0</v>
      </c>
      <c r="E96" s="3"/>
    </row>
    <row r="97" spans="1:5" x14ac:dyDescent="0.35">
      <c r="A97" s="2">
        <v>95</v>
      </c>
      <c r="B97" s="3"/>
      <c r="C97" s="3"/>
      <c r="D97" s="3">
        <f t="shared" si="3"/>
        <v>0</v>
      </c>
      <c r="E97" s="3"/>
    </row>
    <row r="98" spans="1:5" x14ac:dyDescent="0.35">
      <c r="A98" s="2">
        <v>96</v>
      </c>
      <c r="B98" s="3"/>
      <c r="C98" s="3"/>
      <c r="D98" s="3">
        <f t="shared" si="3"/>
        <v>0</v>
      </c>
      <c r="E98" s="3"/>
    </row>
    <row r="99" spans="1:5" x14ac:dyDescent="0.35">
      <c r="A99" s="2">
        <v>97</v>
      </c>
      <c r="B99" s="3"/>
      <c r="C99" s="3"/>
      <c r="D99" s="3">
        <f t="shared" si="3"/>
        <v>0</v>
      </c>
      <c r="E99" s="3"/>
    </row>
    <row r="100" spans="1:5" x14ac:dyDescent="0.35">
      <c r="A100" s="2">
        <v>98</v>
      </c>
      <c r="B100" s="3"/>
      <c r="C100" s="3"/>
      <c r="D100" s="3">
        <f t="shared" si="3"/>
        <v>0</v>
      </c>
      <c r="E100" s="3"/>
    </row>
    <row r="101" spans="1:5" x14ac:dyDescent="0.35">
      <c r="A101" s="2">
        <v>99</v>
      </c>
      <c r="B101" s="3"/>
      <c r="C101" s="3"/>
      <c r="D101" s="3">
        <f t="shared" si="3"/>
        <v>0</v>
      </c>
      <c r="E101" s="3"/>
    </row>
    <row r="102" spans="1:5" x14ac:dyDescent="0.35">
      <c r="A102" s="2">
        <v>100</v>
      </c>
      <c r="B102" s="3"/>
      <c r="C102" s="3"/>
      <c r="D102" s="3">
        <f t="shared" si="3"/>
        <v>0</v>
      </c>
      <c r="E10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D0B7-020F-4475-BA67-E013C14D9C29}">
  <dimension ref="A1:K102"/>
  <sheetViews>
    <sheetView tabSelected="1" workbookViewId="0">
      <selection activeCell="H10" sqref="H10"/>
    </sheetView>
  </sheetViews>
  <sheetFormatPr defaultRowHeight="14.5" x14ac:dyDescent="0.35"/>
  <cols>
    <col min="1" max="1" width="5.90625" bestFit="1" customWidth="1"/>
    <col min="2" max="2" width="15.7265625" bestFit="1" customWidth="1"/>
    <col min="3" max="3" width="14.81640625" bestFit="1" customWidth="1"/>
    <col min="4" max="4" width="20.36328125" bestFit="1" customWidth="1"/>
    <col min="5" max="5" width="12.453125" bestFit="1" customWidth="1"/>
    <col min="7" max="7" width="24.6328125" bestFit="1" customWidth="1"/>
    <col min="8" max="8" width="15.08984375" customWidth="1"/>
    <col min="9" max="9" width="12.1796875" bestFit="1" customWidth="1"/>
    <col min="10" max="10" width="16.6328125" bestFit="1" customWidth="1"/>
    <col min="11" max="11" width="10.81640625" bestFit="1" customWidth="1"/>
  </cols>
  <sheetData>
    <row r="1" spans="1:11" x14ac:dyDescent="0.35">
      <c r="A1" s="1" t="s">
        <v>0</v>
      </c>
      <c r="B1" s="1" t="s">
        <v>8</v>
      </c>
      <c r="C1" s="1" t="s">
        <v>9</v>
      </c>
      <c r="D1" s="1" t="s">
        <v>2</v>
      </c>
      <c r="E1" s="8" t="s">
        <v>1</v>
      </c>
      <c r="I1" s="6"/>
    </row>
    <row r="2" spans="1:11" x14ac:dyDescent="0.35">
      <c r="A2" s="1"/>
      <c r="B2" s="1"/>
      <c r="C2" s="1"/>
      <c r="D2" s="1"/>
      <c r="E2" s="9">
        <f>H2</f>
        <v>1100000000</v>
      </c>
      <c r="G2" s="1" t="s">
        <v>6</v>
      </c>
      <c r="H2" s="3">
        <v>1100000000</v>
      </c>
      <c r="I2" s="6"/>
      <c r="J2" s="1" t="s">
        <v>7</v>
      </c>
      <c r="K2" s="3">
        <f>H2/H4</f>
        <v>18333333.333333332</v>
      </c>
    </row>
    <row r="3" spans="1:11" x14ac:dyDescent="0.35">
      <c r="A3" s="2">
        <v>1</v>
      </c>
      <c r="B3" s="3">
        <f>$K$2</f>
        <v>18333333.333333332</v>
      </c>
      <c r="C3" s="3">
        <f>$K$3*E3</f>
        <v>8653333.333333334</v>
      </c>
      <c r="D3" s="3">
        <f>SUM(B3:C3)</f>
        <v>26986666.666666664</v>
      </c>
      <c r="E3" s="3">
        <f>E2-B3</f>
        <v>1081666666.6666667</v>
      </c>
      <c r="G3" s="1" t="s">
        <v>3</v>
      </c>
      <c r="H3" s="4">
        <v>9.6000000000000002E-2</v>
      </c>
      <c r="I3" s="7"/>
      <c r="J3" s="1" t="s">
        <v>5</v>
      </c>
      <c r="K3" s="4">
        <f>H3/12</f>
        <v>8.0000000000000002E-3</v>
      </c>
    </row>
    <row r="4" spans="1:11" x14ac:dyDescent="0.35">
      <c r="A4" s="2">
        <v>2</v>
      </c>
      <c r="B4" s="3">
        <f>$K$2</f>
        <v>18333333.333333332</v>
      </c>
      <c r="C4" s="3">
        <f t="shared" ref="C4:C67" si="0">$K$3*E4</f>
        <v>8506666.6666666679</v>
      </c>
      <c r="D4" s="3">
        <f t="shared" ref="D4:D67" si="1">SUM(B4:C4)</f>
        <v>26840000</v>
      </c>
      <c r="E4" s="3">
        <f t="shared" ref="E4:E67" si="2">E3-B4</f>
        <v>1063333333.3333334</v>
      </c>
      <c r="G4" s="1" t="s">
        <v>4</v>
      </c>
      <c r="H4" s="2">
        <v>60</v>
      </c>
      <c r="I4" s="5"/>
    </row>
    <row r="5" spans="1:11" x14ac:dyDescent="0.35">
      <c r="A5" s="2">
        <v>3</v>
      </c>
      <c r="B5" s="3">
        <f>$K$2</f>
        <v>18333333.333333332</v>
      </c>
      <c r="C5" s="3">
        <f t="shared" si="0"/>
        <v>8360000</v>
      </c>
      <c r="D5" s="3">
        <f t="shared" si="1"/>
        <v>26693333.333333332</v>
      </c>
      <c r="E5" s="3">
        <f t="shared" si="2"/>
        <v>1045000000</v>
      </c>
    </row>
    <row r="6" spans="1:11" x14ac:dyDescent="0.35">
      <c r="A6" s="2">
        <v>4</v>
      </c>
      <c r="B6" s="3">
        <f>$K$2</f>
        <v>18333333.333333332</v>
      </c>
      <c r="C6" s="3">
        <f t="shared" si="0"/>
        <v>8213333.333333333</v>
      </c>
      <c r="D6" s="3">
        <f t="shared" si="1"/>
        <v>26546666.666666664</v>
      </c>
      <c r="E6" s="3">
        <f t="shared" si="2"/>
        <v>1026666666.6666666</v>
      </c>
    </row>
    <row r="7" spans="1:11" x14ac:dyDescent="0.35">
      <c r="A7" s="2">
        <v>5</v>
      </c>
      <c r="B7" s="3">
        <f>$K$2</f>
        <v>18333333.333333332</v>
      </c>
      <c r="C7" s="3">
        <f t="shared" si="0"/>
        <v>8066666.666666666</v>
      </c>
      <c r="D7" s="3">
        <f t="shared" si="1"/>
        <v>26400000</v>
      </c>
      <c r="E7" s="3">
        <f t="shared" si="2"/>
        <v>1008333333.3333333</v>
      </c>
      <c r="G7" s="8" t="s">
        <v>10</v>
      </c>
      <c r="H7" s="3">
        <f>SUM(D3:D102)</f>
        <v>1359600000</v>
      </c>
    </row>
    <row r="8" spans="1:11" x14ac:dyDescent="0.35">
      <c r="A8" s="2">
        <v>6</v>
      </c>
      <c r="B8" s="3">
        <f>$K$2</f>
        <v>18333333.333333332</v>
      </c>
      <c r="C8" s="3">
        <f t="shared" si="0"/>
        <v>7919999.9999999991</v>
      </c>
      <c r="D8" s="3">
        <f t="shared" si="1"/>
        <v>26253333.333333332</v>
      </c>
      <c r="E8" s="3">
        <f t="shared" si="2"/>
        <v>989999999.99999988</v>
      </c>
      <c r="G8" s="12" t="s">
        <v>11</v>
      </c>
      <c r="H8" s="13">
        <f>SUM(D3:D38)</f>
        <v>879120000</v>
      </c>
    </row>
    <row r="9" spans="1:11" x14ac:dyDescent="0.35">
      <c r="A9" s="2">
        <v>7</v>
      </c>
      <c r="B9" s="3">
        <f>$K$2</f>
        <v>18333333.333333332</v>
      </c>
      <c r="C9" s="3">
        <f t="shared" si="0"/>
        <v>7773333.3333333321</v>
      </c>
      <c r="D9" s="3">
        <f t="shared" si="1"/>
        <v>26106666.666666664</v>
      </c>
      <c r="E9" s="3">
        <f t="shared" si="2"/>
        <v>971666666.66666651</v>
      </c>
      <c r="G9" s="12" t="s">
        <v>12</v>
      </c>
      <c r="H9" s="13">
        <f>SUM(B39:B62)</f>
        <v>439999999.99999988</v>
      </c>
    </row>
    <row r="10" spans="1:11" x14ac:dyDescent="0.35">
      <c r="A10" s="2">
        <v>8</v>
      </c>
      <c r="B10" s="3">
        <f>$K$2</f>
        <v>18333333.333333332</v>
      </c>
      <c r="C10" s="3">
        <f t="shared" si="0"/>
        <v>7626666.6666666651</v>
      </c>
      <c r="D10" s="3">
        <f t="shared" si="1"/>
        <v>25959999.999999996</v>
      </c>
      <c r="E10" s="3">
        <f t="shared" si="2"/>
        <v>953333333.33333313</v>
      </c>
      <c r="G10" s="14"/>
      <c r="H10" s="13">
        <f>SUM(H8:H9)</f>
        <v>1319120000</v>
      </c>
    </row>
    <row r="11" spans="1:11" x14ac:dyDescent="0.35">
      <c r="A11" s="2">
        <v>9</v>
      </c>
      <c r="B11" s="3">
        <f>$K$2</f>
        <v>18333333.333333332</v>
      </c>
      <c r="C11" s="3">
        <f t="shared" si="0"/>
        <v>7479999.9999999981</v>
      </c>
      <c r="D11" s="3">
        <f t="shared" si="1"/>
        <v>25813333.333333328</v>
      </c>
      <c r="E11" s="3">
        <f t="shared" si="2"/>
        <v>934999999.99999976</v>
      </c>
    </row>
    <row r="12" spans="1:11" x14ac:dyDescent="0.35">
      <c r="A12" s="2">
        <v>10</v>
      </c>
      <c r="B12" s="3">
        <f>$K$2</f>
        <v>18333333.333333332</v>
      </c>
      <c r="C12" s="3">
        <f t="shared" si="0"/>
        <v>7333333.3333333312</v>
      </c>
      <c r="D12" s="3">
        <f t="shared" si="1"/>
        <v>25666666.666666664</v>
      </c>
      <c r="E12" s="3">
        <f t="shared" si="2"/>
        <v>916666666.66666639</v>
      </c>
    </row>
    <row r="13" spans="1:11" x14ac:dyDescent="0.35">
      <c r="A13" s="2">
        <v>11</v>
      </c>
      <c r="B13" s="3">
        <f>$K$2</f>
        <v>18333333.333333332</v>
      </c>
      <c r="C13" s="3">
        <f t="shared" si="0"/>
        <v>7186666.6666666642</v>
      </c>
      <c r="D13" s="3">
        <f t="shared" si="1"/>
        <v>25519999.999999996</v>
      </c>
      <c r="E13" s="3">
        <f t="shared" si="2"/>
        <v>898333333.33333302</v>
      </c>
      <c r="G13" t="s">
        <v>13</v>
      </c>
    </row>
    <row r="14" spans="1:11" x14ac:dyDescent="0.35">
      <c r="A14" s="2">
        <v>12</v>
      </c>
      <c r="B14" s="3">
        <f>$K$2</f>
        <v>18333333.333333332</v>
      </c>
      <c r="C14" s="3">
        <f t="shared" si="0"/>
        <v>7039999.9999999972</v>
      </c>
      <c r="D14" s="3">
        <f t="shared" si="1"/>
        <v>25373333.333333328</v>
      </c>
      <c r="E14" s="3">
        <f t="shared" si="2"/>
        <v>879999999.99999964</v>
      </c>
      <c r="G14" t="s">
        <v>14</v>
      </c>
      <c r="H14" s="11">
        <f>SUM(D3:D10)</f>
        <v>211786666.66666666</v>
      </c>
      <c r="I14" s="11">
        <f>H14</f>
        <v>211786666.66666666</v>
      </c>
    </row>
    <row r="15" spans="1:11" x14ac:dyDescent="0.35">
      <c r="A15" s="2">
        <v>13</v>
      </c>
      <c r="B15" s="3">
        <f>$K$2</f>
        <v>18333333.333333332</v>
      </c>
      <c r="C15" s="3">
        <f t="shared" si="0"/>
        <v>6893333.3333333302</v>
      </c>
      <c r="D15" s="3">
        <f t="shared" si="1"/>
        <v>25226666.666666664</v>
      </c>
      <c r="E15" s="3">
        <f t="shared" si="2"/>
        <v>861666666.66666627</v>
      </c>
      <c r="G15" t="s">
        <v>1</v>
      </c>
      <c r="H15" s="11">
        <f>E11</f>
        <v>934999999.99999976</v>
      </c>
    </row>
    <row r="16" spans="1:11" x14ac:dyDescent="0.35">
      <c r="A16" s="2">
        <v>14</v>
      </c>
      <c r="B16" s="3">
        <f>$K$2</f>
        <v>18333333.333333332</v>
      </c>
      <c r="C16" s="3">
        <f t="shared" si="0"/>
        <v>6746666.6666666633</v>
      </c>
      <c r="D16" s="3">
        <f t="shared" si="1"/>
        <v>25079999.999999996</v>
      </c>
      <c r="E16" s="3">
        <f t="shared" si="2"/>
        <v>843333333.3333329</v>
      </c>
      <c r="G16" t="s">
        <v>15</v>
      </c>
      <c r="H16" s="11">
        <f>H15*0.03</f>
        <v>28049999.999999993</v>
      </c>
      <c r="I16" s="11">
        <f>H16</f>
        <v>28049999.999999993</v>
      </c>
    </row>
    <row r="17" spans="1:9" x14ac:dyDescent="0.35">
      <c r="A17" s="2">
        <v>15</v>
      </c>
      <c r="B17" s="3">
        <f>$K$2</f>
        <v>18333333.333333332</v>
      </c>
      <c r="C17" s="3">
        <f t="shared" si="0"/>
        <v>6599999.9999999963</v>
      </c>
      <c r="D17" s="3">
        <f t="shared" si="1"/>
        <v>24933333.333333328</v>
      </c>
      <c r="E17" s="3">
        <f t="shared" si="2"/>
        <v>824999999.99999952</v>
      </c>
      <c r="H17" s="11">
        <f>SUM(H14:H16)</f>
        <v>1174836666.6666665</v>
      </c>
    </row>
    <row r="18" spans="1:9" x14ac:dyDescent="0.35">
      <c r="A18" s="2">
        <v>16</v>
      </c>
      <c r="B18" s="3">
        <f>$K$2</f>
        <v>18333333.333333332</v>
      </c>
      <c r="C18" s="3">
        <f t="shared" si="0"/>
        <v>6453333.3333333293</v>
      </c>
      <c r="D18" s="3">
        <f t="shared" si="1"/>
        <v>24786666.66666666</v>
      </c>
      <c r="E18" s="3">
        <f t="shared" si="2"/>
        <v>806666666.66666615</v>
      </c>
      <c r="H18" s="11"/>
    </row>
    <row r="19" spans="1:9" x14ac:dyDescent="0.35">
      <c r="A19" s="2">
        <v>17</v>
      </c>
      <c r="B19" s="3">
        <f>$K$2</f>
        <v>18333333.333333332</v>
      </c>
      <c r="C19" s="3">
        <f t="shared" si="0"/>
        <v>6306666.6666666623</v>
      </c>
      <c r="D19" s="3">
        <f t="shared" si="1"/>
        <v>24639999.999999993</v>
      </c>
      <c r="E19" s="3">
        <f t="shared" si="2"/>
        <v>788333333.33333278</v>
      </c>
      <c r="G19" t="s">
        <v>16</v>
      </c>
      <c r="H19" s="11">
        <v>10000000</v>
      </c>
      <c r="I19" s="11">
        <f>H19</f>
        <v>10000000</v>
      </c>
    </row>
    <row r="20" spans="1:9" x14ac:dyDescent="0.35">
      <c r="A20" s="2">
        <v>18</v>
      </c>
      <c r="B20" s="3">
        <f>$K$2</f>
        <v>18333333.333333332</v>
      </c>
      <c r="C20" s="3">
        <f t="shared" si="0"/>
        <v>6159999.9999999953</v>
      </c>
      <c r="D20" s="3">
        <f t="shared" si="1"/>
        <v>24493333.333333328</v>
      </c>
      <c r="E20" s="3">
        <f t="shared" si="2"/>
        <v>769999999.9999994</v>
      </c>
      <c r="H20" s="11">
        <f>Shinhan!H7</f>
        <v>849833333.33333325</v>
      </c>
      <c r="I20" s="11">
        <f>H20</f>
        <v>849833333.33333325</v>
      </c>
    </row>
    <row r="21" spans="1:9" x14ac:dyDescent="0.35">
      <c r="A21" s="2">
        <v>19</v>
      </c>
      <c r="B21" s="3">
        <f>$K$2</f>
        <v>18333333.333333332</v>
      </c>
      <c r="C21" s="3">
        <f t="shared" si="0"/>
        <v>6013333.3333333284</v>
      </c>
      <c r="D21" s="3">
        <f t="shared" si="1"/>
        <v>24346666.66666666</v>
      </c>
      <c r="E21" s="3">
        <f t="shared" si="2"/>
        <v>751666666.66666603</v>
      </c>
      <c r="H21" s="11"/>
      <c r="I21" s="11">
        <f>SUM(I14:I20)</f>
        <v>1099670000</v>
      </c>
    </row>
    <row r="22" spans="1:9" x14ac:dyDescent="0.35">
      <c r="A22" s="2">
        <v>20</v>
      </c>
      <c r="B22" s="3">
        <f>$K$2</f>
        <v>18333333.333333332</v>
      </c>
      <c r="C22" s="3">
        <f t="shared" si="0"/>
        <v>5866666.6666666614</v>
      </c>
      <c r="D22" s="3">
        <f t="shared" si="1"/>
        <v>24199999.999999993</v>
      </c>
      <c r="E22" s="3">
        <f t="shared" si="2"/>
        <v>733333333.33333266</v>
      </c>
    </row>
    <row r="23" spans="1:9" x14ac:dyDescent="0.35">
      <c r="A23" s="2">
        <v>21</v>
      </c>
      <c r="B23" s="3">
        <f>$K$2</f>
        <v>18333333.333333332</v>
      </c>
      <c r="C23" s="3">
        <f t="shared" si="0"/>
        <v>5719999.9999999944</v>
      </c>
      <c r="D23" s="3">
        <f t="shared" si="1"/>
        <v>24053333.333333328</v>
      </c>
      <c r="E23" s="3">
        <f t="shared" si="2"/>
        <v>714999999.99999928</v>
      </c>
    </row>
    <row r="24" spans="1:9" x14ac:dyDescent="0.35">
      <c r="A24" s="2">
        <v>22</v>
      </c>
      <c r="B24" s="3">
        <f>$K$2</f>
        <v>18333333.333333332</v>
      </c>
      <c r="C24" s="3">
        <f t="shared" si="0"/>
        <v>5573333.3333333274</v>
      </c>
      <c r="D24" s="3">
        <f t="shared" si="1"/>
        <v>23906666.66666666</v>
      </c>
      <c r="E24" s="3">
        <f t="shared" si="2"/>
        <v>696666666.66666591</v>
      </c>
    </row>
    <row r="25" spans="1:9" x14ac:dyDescent="0.35">
      <c r="A25" s="2">
        <v>23</v>
      </c>
      <c r="B25" s="3">
        <f>$K$2</f>
        <v>18333333.333333332</v>
      </c>
      <c r="C25" s="3">
        <f t="shared" si="0"/>
        <v>5426666.6666666605</v>
      </c>
      <c r="D25" s="3">
        <f t="shared" si="1"/>
        <v>23759999.999999993</v>
      </c>
      <c r="E25" s="3">
        <f t="shared" si="2"/>
        <v>678333333.33333254</v>
      </c>
    </row>
    <row r="26" spans="1:9" x14ac:dyDescent="0.35">
      <c r="A26" s="2">
        <v>24</v>
      </c>
      <c r="B26" s="3">
        <f>$K$2</f>
        <v>18333333.333333332</v>
      </c>
      <c r="C26" s="3">
        <f t="shared" si="0"/>
        <v>5279999.9999999935</v>
      </c>
      <c r="D26" s="3">
        <f t="shared" si="1"/>
        <v>23613333.333333325</v>
      </c>
      <c r="E26" s="3">
        <f t="shared" si="2"/>
        <v>659999999.99999917</v>
      </c>
    </row>
    <row r="27" spans="1:9" x14ac:dyDescent="0.35">
      <c r="A27" s="2">
        <v>25</v>
      </c>
      <c r="B27" s="3">
        <f>$K$2</f>
        <v>18333333.333333332</v>
      </c>
      <c r="C27" s="3">
        <f t="shared" si="0"/>
        <v>5133333.3333333265</v>
      </c>
      <c r="D27" s="3">
        <f t="shared" si="1"/>
        <v>23466666.666666657</v>
      </c>
      <c r="E27" s="3">
        <f t="shared" si="2"/>
        <v>641666666.66666579</v>
      </c>
    </row>
    <row r="28" spans="1:9" x14ac:dyDescent="0.35">
      <c r="A28" s="2">
        <v>26</v>
      </c>
      <c r="B28" s="3">
        <f>$K$2</f>
        <v>18333333.333333332</v>
      </c>
      <c r="C28" s="3">
        <f t="shared" si="0"/>
        <v>4986666.6666666595</v>
      </c>
      <c r="D28" s="3">
        <f t="shared" si="1"/>
        <v>23319999.999999993</v>
      </c>
      <c r="E28" s="3">
        <f t="shared" si="2"/>
        <v>623333333.33333242</v>
      </c>
    </row>
    <row r="29" spans="1:9" x14ac:dyDescent="0.35">
      <c r="A29" s="2">
        <v>27</v>
      </c>
      <c r="B29" s="3">
        <f>$K$2</f>
        <v>18333333.333333332</v>
      </c>
      <c r="C29" s="3">
        <f t="shared" si="0"/>
        <v>4839999.9999999925</v>
      </c>
      <c r="D29" s="3">
        <f t="shared" si="1"/>
        <v>23173333.333333325</v>
      </c>
      <c r="E29" s="3">
        <f t="shared" si="2"/>
        <v>604999999.99999905</v>
      </c>
    </row>
    <row r="30" spans="1:9" x14ac:dyDescent="0.35">
      <c r="A30" s="2">
        <v>28</v>
      </c>
      <c r="B30" s="3">
        <f>$K$2</f>
        <v>18333333.333333332</v>
      </c>
      <c r="C30" s="3">
        <f t="shared" si="0"/>
        <v>4693333.3333333256</v>
      </c>
      <c r="D30" s="3">
        <f t="shared" si="1"/>
        <v>23026666.666666657</v>
      </c>
      <c r="E30" s="3">
        <f t="shared" si="2"/>
        <v>586666666.66666567</v>
      </c>
    </row>
    <row r="31" spans="1:9" x14ac:dyDescent="0.35">
      <c r="A31" s="2">
        <v>29</v>
      </c>
      <c r="B31" s="3">
        <f>$K$2</f>
        <v>18333333.333333332</v>
      </c>
      <c r="C31" s="3">
        <f t="shared" si="0"/>
        <v>4546666.6666666586</v>
      </c>
      <c r="D31" s="3">
        <f t="shared" si="1"/>
        <v>22879999.999999993</v>
      </c>
      <c r="E31" s="3">
        <f t="shared" si="2"/>
        <v>568333333.3333323</v>
      </c>
    </row>
    <row r="32" spans="1:9" x14ac:dyDescent="0.35">
      <c r="A32" s="2">
        <v>30</v>
      </c>
      <c r="B32" s="3">
        <f>$K$2</f>
        <v>18333333.333333332</v>
      </c>
      <c r="C32" s="3">
        <f t="shared" si="0"/>
        <v>4399999.9999999916</v>
      </c>
      <c r="D32" s="3">
        <f t="shared" si="1"/>
        <v>22733333.333333325</v>
      </c>
      <c r="E32" s="3">
        <f t="shared" si="2"/>
        <v>549999999.99999893</v>
      </c>
    </row>
    <row r="33" spans="1:5" x14ac:dyDescent="0.35">
      <c r="A33" s="2">
        <v>31</v>
      </c>
      <c r="B33" s="3">
        <f>$K$2</f>
        <v>18333333.333333332</v>
      </c>
      <c r="C33" s="3">
        <f t="shared" si="0"/>
        <v>4253333.3333333246</v>
      </c>
      <c r="D33" s="3">
        <f t="shared" si="1"/>
        <v>22586666.666666657</v>
      </c>
      <c r="E33" s="3">
        <f t="shared" si="2"/>
        <v>531666666.66666561</v>
      </c>
    </row>
    <row r="34" spans="1:5" x14ac:dyDescent="0.35">
      <c r="A34" s="2">
        <v>32</v>
      </c>
      <c r="B34" s="3">
        <f>$K$2</f>
        <v>18333333.333333332</v>
      </c>
      <c r="C34" s="3">
        <f t="shared" si="0"/>
        <v>4106666.6666666586</v>
      </c>
      <c r="D34" s="3">
        <f t="shared" si="1"/>
        <v>22439999.999999993</v>
      </c>
      <c r="E34" s="3">
        <f t="shared" si="2"/>
        <v>513333333.3333323</v>
      </c>
    </row>
    <row r="35" spans="1:5" x14ac:dyDescent="0.35">
      <c r="A35" s="2">
        <v>33</v>
      </c>
      <c r="B35" s="3">
        <f>$K$2</f>
        <v>18333333.333333332</v>
      </c>
      <c r="C35" s="3">
        <f t="shared" si="0"/>
        <v>3959999.9999999921</v>
      </c>
      <c r="D35" s="3">
        <f t="shared" si="1"/>
        <v>22293333.333333325</v>
      </c>
      <c r="E35" s="3">
        <f t="shared" si="2"/>
        <v>494999999.99999899</v>
      </c>
    </row>
    <row r="36" spans="1:5" x14ac:dyDescent="0.35">
      <c r="A36" s="2">
        <v>34</v>
      </c>
      <c r="B36" s="3">
        <f>$K$2</f>
        <v>18333333.333333332</v>
      </c>
      <c r="C36" s="3">
        <f t="shared" si="0"/>
        <v>3813333.3333333256</v>
      </c>
      <c r="D36" s="3">
        <f t="shared" si="1"/>
        <v>22146666.666666657</v>
      </c>
      <c r="E36" s="3">
        <f t="shared" si="2"/>
        <v>476666666.66666567</v>
      </c>
    </row>
    <row r="37" spans="1:5" x14ac:dyDescent="0.35">
      <c r="A37" s="2">
        <v>35</v>
      </c>
      <c r="B37" s="3">
        <f>$K$2</f>
        <v>18333333.333333332</v>
      </c>
      <c r="C37" s="3">
        <f t="shared" si="0"/>
        <v>3666666.6666666591</v>
      </c>
      <c r="D37" s="3">
        <f t="shared" si="1"/>
        <v>21999999.999999993</v>
      </c>
      <c r="E37" s="3">
        <f t="shared" si="2"/>
        <v>458333333.33333236</v>
      </c>
    </row>
    <row r="38" spans="1:5" x14ac:dyDescent="0.35">
      <c r="A38" s="2">
        <v>36</v>
      </c>
      <c r="B38" s="3">
        <f>$K$2</f>
        <v>18333333.333333332</v>
      </c>
      <c r="C38" s="3">
        <f t="shared" si="0"/>
        <v>3519999.9999999925</v>
      </c>
      <c r="D38" s="3">
        <f t="shared" si="1"/>
        <v>21853333.333333325</v>
      </c>
      <c r="E38" s="3">
        <f t="shared" si="2"/>
        <v>439999999.99999905</v>
      </c>
    </row>
    <row r="39" spans="1:5" x14ac:dyDescent="0.35">
      <c r="A39" s="2">
        <v>37</v>
      </c>
      <c r="B39" s="3">
        <f>$K$2</f>
        <v>18333333.333333332</v>
      </c>
      <c r="C39" s="3">
        <f t="shared" si="0"/>
        <v>3373333.333333326</v>
      </c>
      <c r="D39" s="3">
        <f t="shared" si="1"/>
        <v>21706666.666666657</v>
      </c>
      <c r="E39" s="3">
        <f t="shared" si="2"/>
        <v>421666666.66666573</v>
      </c>
    </row>
    <row r="40" spans="1:5" x14ac:dyDescent="0.35">
      <c r="A40" s="2">
        <v>38</v>
      </c>
      <c r="B40" s="3">
        <f>$K$2</f>
        <v>18333333.333333332</v>
      </c>
      <c r="C40" s="3">
        <f t="shared" si="0"/>
        <v>3226666.6666666595</v>
      </c>
      <c r="D40" s="3">
        <f t="shared" si="1"/>
        <v>21559999.999999993</v>
      </c>
      <c r="E40" s="3">
        <f t="shared" si="2"/>
        <v>403333333.33333242</v>
      </c>
    </row>
    <row r="41" spans="1:5" x14ac:dyDescent="0.35">
      <c r="A41" s="2">
        <v>39</v>
      </c>
      <c r="B41" s="3">
        <f>$K$2</f>
        <v>18333333.333333332</v>
      </c>
      <c r="C41" s="3">
        <f t="shared" si="0"/>
        <v>3079999.999999993</v>
      </c>
      <c r="D41" s="3">
        <f t="shared" si="1"/>
        <v>21413333.333333325</v>
      </c>
      <c r="E41" s="3">
        <f t="shared" si="2"/>
        <v>384999999.99999911</v>
      </c>
    </row>
    <row r="42" spans="1:5" x14ac:dyDescent="0.35">
      <c r="A42" s="2">
        <v>40</v>
      </c>
      <c r="B42" s="3">
        <f>$K$2</f>
        <v>18333333.333333332</v>
      </c>
      <c r="C42" s="3">
        <f t="shared" si="0"/>
        <v>2933333.3333333265</v>
      </c>
      <c r="D42" s="3">
        <f t="shared" si="1"/>
        <v>21266666.666666657</v>
      </c>
      <c r="E42" s="3">
        <f t="shared" si="2"/>
        <v>366666666.66666579</v>
      </c>
    </row>
    <row r="43" spans="1:5" x14ac:dyDescent="0.35">
      <c r="A43" s="2">
        <v>41</v>
      </c>
      <c r="B43" s="3">
        <f>$K$2</f>
        <v>18333333.333333332</v>
      </c>
      <c r="C43" s="3">
        <f t="shared" si="0"/>
        <v>2786666.66666666</v>
      </c>
      <c r="D43" s="3">
        <f t="shared" si="1"/>
        <v>21119999.999999993</v>
      </c>
      <c r="E43" s="3">
        <f t="shared" si="2"/>
        <v>348333333.33333248</v>
      </c>
    </row>
    <row r="44" spans="1:5" x14ac:dyDescent="0.35">
      <c r="A44" s="2">
        <v>42</v>
      </c>
      <c r="B44" s="3">
        <f>$K$2</f>
        <v>18333333.333333332</v>
      </c>
      <c r="C44" s="3">
        <f t="shared" si="0"/>
        <v>2639999.9999999935</v>
      </c>
      <c r="D44" s="3">
        <f t="shared" si="1"/>
        <v>20973333.333333325</v>
      </c>
      <c r="E44" s="3">
        <f t="shared" si="2"/>
        <v>329999999.99999917</v>
      </c>
    </row>
    <row r="45" spans="1:5" x14ac:dyDescent="0.35">
      <c r="A45" s="2">
        <v>43</v>
      </c>
      <c r="B45" s="3">
        <f>$K$2</f>
        <v>18333333.333333332</v>
      </c>
      <c r="C45" s="3">
        <f t="shared" si="0"/>
        <v>2493333.333333327</v>
      </c>
      <c r="D45" s="3">
        <f t="shared" si="1"/>
        <v>20826666.66666666</v>
      </c>
      <c r="E45" s="3">
        <f t="shared" si="2"/>
        <v>311666666.66666585</v>
      </c>
    </row>
    <row r="46" spans="1:5" x14ac:dyDescent="0.35">
      <c r="A46" s="2">
        <v>44</v>
      </c>
      <c r="B46" s="3">
        <f>$K$2</f>
        <v>18333333.333333332</v>
      </c>
      <c r="C46" s="3">
        <f t="shared" si="0"/>
        <v>2346666.6666666605</v>
      </c>
      <c r="D46" s="3">
        <f t="shared" si="1"/>
        <v>20679999.999999993</v>
      </c>
      <c r="E46" s="3">
        <f t="shared" si="2"/>
        <v>293333333.33333254</v>
      </c>
    </row>
    <row r="47" spans="1:5" x14ac:dyDescent="0.35">
      <c r="A47" s="2">
        <v>45</v>
      </c>
      <c r="B47" s="3">
        <f>$K$2</f>
        <v>18333333.333333332</v>
      </c>
      <c r="C47" s="3">
        <f t="shared" si="0"/>
        <v>2199999.9999999939</v>
      </c>
      <c r="D47" s="3">
        <f t="shared" si="1"/>
        <v>20533333.333333325</v>
      </c>
      <c r="E47" s="3">
        <f t="shared" si="2"/>
        <v>274999999.99999923</v>
      </c>
    </row>
    <row r="48" spans="1:5" x14ac:dyDescent="0.35">
      <c r="A48" s="2">
        <v>46</v>
      </c>
      <c r="B48" s="3">
        <f>$K$2</f>
        <v>18333333.333333332</v>
      </c>
      <c r="C48" s="3">
        <f t="shared" si="0"/>
        <v>2053333.3333333272</v>
      </c>
      <c r="D48" s="3">
        <f t="shared" si="1"/>
        <v>20386666.66666666</v>
      </c>
      <c r="E48" s="3">
        <f t="shared" si="2"/>
        <v>256666666.66666588</v>
      </c>
    </row>
    <row r="49" spans="1:5" x14ac:dyDescent="0.35">
      <c r="A49" s="2">
        <v>47</v>
      </c>
      <c r="B49" s="3">
        <f>$K$2</f>
        <v>18333333.333333332</v>
      </c>
      <c r="C49" s="3">
        <f t="shared" si="0"/>
        <v>1906666.6666666605</v>
      </c>
      <c r="D49" s="3">
        <f t="shared" si="1"/>
        <v>20239999.999999993</v>
      </c>
      <c r="E49" s="3">
        <f t="shared" si="2"/>
        <v>238333333.33333254</v>
      </c>
    </row>
    <row r="50" spans="1:5" x14ac:dyDescent="0.35">
      <c r="A50" s="2">
        <v>48</v>
      </c>
      <c r="B50" s="3">
        <f>$K$2</f>
        <v>18333333.333333332</v>
      </c>
      <c r="C50" s="3">
        <f t="shared" si="0"/>
        <v>1759999.9999999937</v>
      </c>
      <c r="D50" s="3">
        <f t="shared" si="1"/>
        <v>20093333.333333325</v>
      </c>
      <c r="E50" s="3">
        <f t="shared" si="2"/>
        <v>219999999.9999992</v>
      </c>
    </row>
    <row r="51" spans="1:5" x14ac:dyDescent="0.35">
      <c r="A51" s="2">
        <v>49</v>
      </c>
      <c r="B51" s="3">
        <f>$K$2</f>
        <v>18333333.333333332</v>
      </c>
      <c r="C51" s="3">
        <f t="shared" si="0"/>
        <v>1613333.3333333267</v>
      </c>
      <c r="D51" s="3">
        <f t="shared" si="1"/>
        <v>19946666.66666666</v>
      </c>
      <c r="E51" s="3">
        <f t="shared" si="2"/>
        <v>201666666.66666585</v>
      </c>
    </row>
    <row r="52" spans="1:5" x14ac:dyDescent="0.35">
      <c r="A52" s="2">
        <v>50</v>
      </c>
      <c r="B52" s="3">
        <f>$K$2</f>
        <v>18333333.333333332</v>
      </c>
      <c r="C52" s="3">
        <f t="shared" si="0"/>
        <v>1466666.66666666</v>
      </c>
      <c r="D52" s="3">
        <f t="shared" si="1"/>
        <v>19799999.999999993</v>
      </c>
      <c r="E52" s="3">
        <f t="shared" si="2"/>
        <v>183333333.33333251</v>
      </c>
    </row>
    <row r="53" spans="1:5" x14ac:dyDescent="0.35">
      <c r="A53" s="2">
        <v>51</v>
      </c>
      <c r="B53" s="3">
        <f>$K$2</f>
        <v>18333333.333333332</v>
      </c>
      <c r="C53" s="3">
        <f t="shared" si="0"/>
        <v>1319999.9999999932</v>
      </c>
      <c r="D53" s="3">
        <f t="shared" si="1"/>
        <v>19653333.333333325</v>
      </c>
      <c r="E53" s="3">
        <f t="shared" si="2"/>
        <v>164999999.99999917</v>
      </c>
    </row>
    <row r="54" spans="1:5" x14ac:dyDescent="0.35">
      <c r="A54" s="2">
        <v>52</v>
      </c>
      <c r="B54" s="3">
        <f>$K$2</f>
        <v>18333333.333333332</v>
      </c>
      <c r="C54" s="3">
        <f t="shared" si="0"/>
        <v>1173333.3333333265</v>
      </c>
      <c r="D54" s="3">
        <f t="shared" si="1"/>
        <v>19506666.666666657</v>
      </c>
      <c r="E54" s="3">
        <f t="shared" si="2"/>
        <v>146666666.66666582</v>
      </c>
    </row>
    <row r="55" spans="1:5" x14ac:dyDescent="0.35">
      <c r="A55" s="2">
        <v>53</v>
      </c>
      <c r="B55" s="3">
        <f>$K$2</f>
        <v>18333333.333333332</v>
      </c>
      <c r="C55" s="3">
        <f t="shared" si="0"/>
        <v>1026666.66666666</v>
      </c>
      <c r="D55" s="3">
        <f t="shared" si="1"/>
        <v>19359999.999999993</v>
      </c>
      <c r="E55" s="3">
        <f t="shared" si="2"/>
        <v>128333333.33333249</v>
      </c>
    </row>
    <row r="56" spans="1:5" x14ac:dyDescent="0.35">
      <c r="A56" s="2">
        <v>54</v>
      </c>
      <c r="B56" s="3">
        <f>$K$2</f>
        <v>18333333.333333332</v>
      </c>
      <c r="C56" s="3">
        <f t="shared" si="0"/>
        <v>879999.99999999336</v>
      </c>
      <c r="D56" s="3">
        <f t="shared" si="1"/>
        <v>19213333.333333325</v>
      </c>
      <c r="E56" s="3">
        <f t="shared" si="2"/>
        <v>109999999.99999917</v>
      </c>
    </row>
    <row r="57" spans="1:5" x14ac:dyDescent="0.35">
      <c r="A57" s="2">
        <v>55</v>
      </c>
      <c r="B57" s="3">
        <f>$K$2</f>
        <v>18333333.333333332</v>
      </c>
      <c r="C57" s="3">
        <f t="shared" si="0"/>
        <v>733333.33333332674</v>
      </c>
      <c r="D57" s="3">
        <f t="shared" si="1"/>
        <v>19066666.66666666</v>
      </c>
      <c r="E57" s="3">
        <f t="shared" si="2"/>
        <v>91666666.666665837</v>
      </c>
    </row>
    <row r="58" spans="1:5" x14ac:dyDescent="0.35">
      <c r="A58" s="2">
        <v>56</v>
      </c>
      <c r="B58" s="3">
        <f>$K$2</f>
        <v>18333333.333333332</v>
      </c>
      <c r="C58" s="3">
        <f t="shared" si="0"/>
        <v>586666.66666666011</v>
      </c>
      <c r="D58" s="3">
        <f t="shared" si="1"/>
        <v>18919999.999999993</v>
      </c>
      <c r="E58" s="3">
        <f t="shared" si="2"/>
        <v>73333333.333332509</v>
      </c>
    </row>
    <row r="59" spans="1:5" x14ac:dyDescent="0.35">
      <c r="A59" s="2">
        <v>57</v>
      </c>
      <c r="B59" s="3">
        <f>$K$2</f>
        <v>18333333.333333332</v>
      </c>
      <c r="C59" s="3">
        <f t="shared" si="0"/>
        <v>439999.99999999348</v>
      </c>
      <c r="D59" s="3">
        <f t="shared" si="1"/>
        <v>18773333.333333325</v>
      </c>
      <c r="E59" s="3">
        <f t="shared" si="2"/>
        <v>54999999.99999918</v>
      </c>
    </row>
    <row r="60" spans="1:5" x14ac:dyDescent="0.35">
      <c r="A60" s="2">
        <v>58</v>
      </c>
      <c r="B60" s="3">
        <f>$K$2</f>
        <v>18333333.333333332</v>
      </c>
      <c r="C60" s="3">
        <f t="shared" si="0"/>
        <v>293333.33333332679</v>
      </c>
      <c r="D60" s="3">
        <f t="shared" si="1"/>
        <v>18626666.66666666</v>
      </c>
      <c r="E60" s="3">
        <f t="shared" si="2"/>
        <v>36666666.666665852</v>
      </c>
    </row>
    <row r="61" spans="1:5" x14ac:dyDescent="0.35">
      <c r="A61" s="2">
        <v>59</v>
      </c>
      <c r="B61" s="3">
        <f>$K$2</f>
        <v>18333333.333333332</v>
      </c>
      <c r="C61" s="3">
        <f t="shared" si="0"/>
        <v>146666.66666666017</v>
      </c>
      <c r="D61" s="3">
        <f t="shared" si="1"/>
        <v>18479999.999999993</v>
      </c>
      <c r="E61" s="3">
        <f t="shared" si="2"/>
        <v>18333333.33333252</v>
      </c>
    </row>
    <row r="62" spans="1:5" x14ac:dyDescent="0.35">
      <c r="A62" s="2">
        <v>60</v>
      </c>
      <c r="B62" s="3">
        <f>$K$2</f>
        <v>18333333.333333332</v>
      </c>
      <c r="C62" s="3">
        <f t="shared" si="0"/>
        <v>-6.4969062805175781E-9</v>
      </c>
      <c r="D62" s="3">
        <f t="shared" si="1"/>
        <v>18333333.333333325</v>
      </c>
      <c r="E62" s="3">
        <f t="shared" si="2"/>
        <v>-8.1211328506469727E-7</v>
      </c>
    </row>
    <row r="63" spans="1:5" x14ac:dyDescent="0.35">
      <c r="A63" s="2">
        <v>61</v>
      </c>
      <c r="B63" s="3"/>
      <c r="C63" s="3"/>
      <c r="D63" s="3">
        <f t="shared" si="1"/>
        <v>0</v>
      </c>
      <c r="E63" s="3"/>
    </row>
    <row r="64" spans="1:5" x14ac:dyDescent="0.35">
      <c r="A64" s="2">
        <v>62</v>
      </c>
      <c r="B64" s="3"/>
      <c r="C64" s="3"/>
      <c r="D64" s="3">
        <f t="shared" si="1"/>
        <v>0</v>
      </c>
      <c r="E64" s="3"/>
    </row>
    <row r="65" spans="1:5" x14ac:dyDescent="0.35">
      <c r="A65" s="2">
        <v>63</v>
      </c>
      <c r="B65" s="3"/>
      <c r="C65" s="3"/>
      <c r="D65" s="3">
        <f t="shared" si="1"/>
        <v>0</v>
      </c>
      <c r="E65" s="3"/>
    </row>
    <row r="66" spans="1:5" x14ac:dyDescent="0.35">
      <c r="A66" s="2">
        <v>64</v>
      </c>
      <c r="B66" s="3"/>
      <c r="C66" s="3"/>
      <c r="D66" s="3">
        <f t="shared" si="1"/>
        <v>0</v>
      </c>
      <c r="E66" s="3"/>
    </row>
    <row r="67" spans="1:5" x14ac:dyDescent="0.35">
      <c r="A67" s="2">
        <v>65</v>
      </c>
      <c r="B67" s="3"/>
      <c r="C67" s="3"/>
      <c r="D67" s="3">
        <f t="shared" si="1"/>
        <v>0</v>
      </c>
      <c r="E67" s="3"/>
    </row>
    <row r="68" spans="1:5" x14ac:dyDescent="0.35">
      <c r="A68" s="2">
        <v>66</v>
      </c>
      <c r="B68" s="3"/>
      <c r="C68" s="3"/>
      <c r="D68" s="3">
        <f t="shared" ref="D68:D102" si="3">SUM(B68:C68)</f>
        <v>0</v>
      </c>
      <c r="E68" s="3"/>
    </row>
    <row r="69" spans="1:5" x14ac:dyDescent="0.35">
      <c r="A69" s="2">
        <v>67</v>
      </c>
      <c r="B69" s="3"/>
      <c r="C69" s="3"/>
      <c r="D69" s="3">
        <f t="shared" si="3"/>
        <v>0</v>
      </c>
      <c r="E69" s="3"/>
    </row>
    <row r="70" spans="1:5" x14ac:dyDescent="0.35">
      <c r="A70" s="2">
        <v>68</v>
      </c>
      <c r="B70" s="3"/>
      <c r="C70" s="3"/>
      <c r="D70" s="3">
        <f t="shared" si="3"/>
        <v>0</v>
      </c>
      <c r="E70" s="3"/>
    </row>
    <row r="71" spans="1:5" x14ac:dyDescent="0.35">
      <c r="A71" s="2">
        <v>69</v>
      </c>
      <c r="B71" s="3"/>
      <c r="C71" s="3"/>
      <c r="D71" s="3">
        <f t="shared" si="3"/>
        <v>0</v>
      </c>
      <c r="E71" s="3"/>
    </row>
    <row r="72" spans="1:5" x14ac:dyDescent="0.35">
      <c r="A72" s="2">
        <v>70</v>
      </c>
      <c r="B72" s="3"/>
      <c r="C72" s="3"/>
      <c r="D72" s="3">
        <f t="shared" si="3"/>
        <v>0</v>
      </c>
      <c r="E72" s="3"/>
    </row>
    <row r="73" spans="1:5" x14ac:dyDescent="0.35">
      <c r="A73" s="2">
        <v>71</v>
      </c>
      <c r="B73" s="3"/>
      <c r="C73" s="3"/>
      <c r="D73" s="3">
        <f t="shared" si="3"/>
        <v>0</v>
      </c>
      <c r="E73" s="3"/>
    </row>
    <row r="74" spans="1:5" x14ac:dyDescent="0.35">
      <c r="A74" s="2">
        <v>72</v>
      </c>
      <c r="B74" s="3"/>
      <c r="C74" s="3"/>
      <c r="D74" s="3">
        <f t="shared" si="3"/>
        <v>0</v>
      </c>
      <c r="E74" s="3"/>
    </row>
    <row r="75" spans="1:5" x14ac:dyDescent="0.35">
      <c r="A75" s="2">
        <v>73</v>
      </c>
      <c r="B75" s="3"/>
      <c r="C75" s="3"/>
      <c r="D75" s="3">
        <f t="shared" si="3"/>
        <v>0</v>
      </c>
      <c r="E75" s="3"/>
    </row>
    <row r="76" spans="1:5" x14ac:dyDescent="0.35">
      <c r="A76" s="2">
        <v>74</v>
      </c>
      <c r="B76" s="3"/>
      <c r="C76" s="3"/>
      <c r="D76" s="3">
        <f t="shared" si="3"/>
        <v>0</v>
      </c>
      <c r="E76" s="3"/>
    </row>
    <row r="77" spans="1:5" x14ac:dyDescent="0.35">
      <c r="A77" s="2">
        <v>75</v>
      </c>
      <c r="B77" s="3"/>
      <c r="C77" s="3"/>
      <c r="D77" s="3">
        <f t="shared" si="3"/>
        <v>0</v>
      </c>
      <c r="E77" s="3"/>
    </row>
    <row r="78" spans="1:5" x14ac:dyDescent="0.35">
      <c r="A78" s="2">
        <v>76</v>
      </c>
      <c r="B78" s="3"/>
      <c r="C78" s="3"/>
      <c r="D78" s="3">
        <f t="shared" si="3"/>
        <v>0</v>
      </c>
      <c r="E78" s="3"/>
    </row>
    <row r="79" spans="1:5" x14ac:dyDescent="0.35">
      <c r="A79" s="2">
        <v>77</v>
      </c>
      <c r="B79" s="3"/>
      <c r="C79" s="3"/>
      <c r="D79" s="3">
        <f t="shared" si="3"/>
        <v>0</v>
      </c>
      <c r="E79" s="3"/>
    </row>
    <row r="80" spans="1:5" x14ac:dyDescent="0.35">
      <c r="A80" s="2">
        <v>78</v>
      </c>
      <c r="B80" s="3"/>
      <c r="C80" s="3"/>
      <c r="D80" s="3">
        <f t="shared" si="3"/>
        <v>0</v>
      </c>
      <c r="E80" s="3"/>
    </row>
    <row r="81" spans="1:5" x14ac:dyDescent="0.35">
      <c r="A81" s="2">
        <v>79</v>
      </c>
      <c r="B81" s="3"/>
      <c r="C81" s="3"/>
      <c r="D81" s="3">
        <f t="shared" si="3"/>
        <v>0</v>
      </c>
      <c r="E81" s="3"/>
    </row>
    <row r="82" spans="1:5" x14ac:dyDescent="0.35">
      <c r="A82" s="2">
        <v>80</v>
      </c>
      <c r="B82" s="3"/>
      <c r="C82" s="3"/>
      <c r="D82" s="3">
        <f t="shared" si="3"/>
        <v>0</v>
      </c>
      <c r="E82" s="3"/>
    </row>
    <row r="83" spans="1:5" x14ac:dyDescent="0.35">
      <c r="A83" s="2">
        <v>81</v>
      </c>
      <c r="B83" s="3"/>
      <c r="C83" s="3"/>
      <c r="D83" s="3">
        <f t="shared" si="3"/>
        <v>0</v>
      </c>
      <c r="E83" s="3"/>
    </row>
    <row r="84" spans="1:5" x14ac:dyDescent="0.35">
      <c r="A84" s="2">
        <v>82</v>
      </c>
      <c r="B84" s="3"/>
      <c r="C84" s="3"/>
      <c r="D84" s="3">
        <f t="shared" si="3"/>
        <v>0</v>
      </c>
      <c r="E84" s="3"/>
    </row>
    <row r="85" spans="1:5" x14ac:dyDescent="0.35">
      <c r="A85" s="2">
        <v>83</v>
      </c>
      <c r="B85" s="3"/>
      <c r="C85" s="3"/>
      <c r="D85" s="3">
        <f t="shared" si="3"/>
        <v>0</v>
      </c>
      <c r="E85" s="3"/>
    </row>
    <row r="86" spans="1:5" x14ac:dyDescent="0.35">
      <c r="A86" s="2">
        <v>84</v>
      </c>
      <c r="B86" s="3"/>
      <c r="C86" s="3"/>
      <c r="D86" s="3">
        <f t="shared" si="3"/>
        <v>0</v>
      </c>
      <c r="E86" s="3"/>
    </row>
    <row r="87" spans="1:5" x14ac:dyDescent="0.35">
      <c r="A87" s="2">
        <v>85</v>
      </c>
      <c r="B87" s="3"/>
      <c r="C87" s="3"/>
      <c r="D87" s="3">
        <f t="shared" si="3"/>
        <v>0</v>
      </c>
      <c r="E87" s="3"/>
    </row>
    <row r="88" spans="1:5" x14ac:dyDescent="0.35">
      <c r="A88" s="2">
        <v>86</v>
      </c>
      <c r="B88" s="3"/>
      <c r="C88" s="3"/>
      <c r="D88" s="3">
        <f t="shared" si="3"/>
        <v>0</v>
      </c>
      <c r="E88" s="3"/>
    </row>
    <row r="89" spans="1:5" x14ac:dyDescent="0.35">
      <c r="A89" s="2">
        <v>87</v>
      </c>
      <c r="B89" s="3"/>
      <c r="C89" s="3"/>
      <c r="D89" s="3">
        <f t="shared" si="3"/>
        <v>0</v>
      </c>
      <c r="E89" s="3"/>
    </row>
    <row r="90" spans="1:5" x14ac:dyDescent="0.35">
      <c r="A90" s="2">
        <v>88</v>
      </c>
      <c r="B90" s="3"/>
      <c r="C90" s="3"/>
      <c r="D90" s="3">
        <f t="shared" si="3"/>
        <v>0</v>
      </c>
      <c r="E90" s="3"/>
    </row>
    <row r="91" spans="1:5" x14ac:dyDescent="0.35">
      <c r="A91" s="2">
        <v>89</v>
      </c>
      <c r="B91" s="3"/>
      <c r="C91" s="3"/>
      <c r="D91" s="3">
        <f t="shared" si="3"/>
        <v>0</v>
      </c>
      <c r="E91" s="3"/>
    </row>
    <row r="92" spans="1:5" x14ac:dyDescent="0.35">
      <c r="A92" s="2">
        <v>90</v>
      </c>
      <c r="B92" s="3"/>
      <c r="C92" s="3"/>
      <c r="D92" s="3">
        <f t="shared" si="3"/>
        <v>0</v>
      </c>
      <c r="E92" s="3"/>
    </row>
    <row r="93" spans="1:5" x14ac:dyDescent="0.35">
      <c r="A93" s="2">
        <v>91</v>
      </c>
      <c r="B93" s="3"/>
      <c r="C93" s="3"/>
      <c r="D93" s="3">
        <f t="shared" si="3"/>
        <v>0</v>
      </c>
      <c r="E93" s="3"/>
    </row>
    <row r="94" spans="1:5" x14ac:dyDescent="0.35">
      <c r="A94" s="2">
        <v>92</v>
      </c>
      <c r="B94" s="3"/>
      <c r="C94" s="3"/>
      <c r="D94" s="3">
        <f t="shared" si="3"/>
        <v>0</v>
      </c>
      <c r="E94" s="3"/>
    </row>
    <row r="95" spans="1:5" x14ac:dyDescent="0.35">
      <c r="A95" s="2">
        <v>93</v>
      </c>
      <c r="B95" s="3"/>
      <c r="C95" s="3"/>
      <c r="D95" s="3">
        <f t="shared" si="3"/>
        <v>0</v>
      </c>
      <c r="E95" s="3"/>
    </row>
    <row r="96" spans="1:5" x14ac:dyDescent="0.35">
      <c r="A96" s="2">
        <v>94</v>
      </c>
      <c r="B96" s="3"/>
      <c r="C96" s="3"/>
      <c r="D96" s="3">
        <f t="shared" si="3"/>
        <v>0</v>
      </c>
      <c r="E96" s="3"/>
    </row>
    <row r="97" spans="1:5" x14ac:dyDescent="0.35">
      <c r="A97" s="2">
        <v>95</v>
      </c>
      <c r="B97" s="3"/>
      <c r="C97" s="3"/>
      <c r="D97" s="3">
        <f t="shared" si="3"/>
        <v>0</v>
      </c>
      <c r="E97" s="3"/>
    </row>
    <row r="98" spans="1:5" x14ac:dyDescent="0.35">
      <c r="A98" s="2">
        <v>96</v>
      </c>
      <c r="B98" s="3"/>
      <c r="C98" s="3"/>
      <c r="D98" s="3">
        <f t="shared" si="3"/>
        <v>0</v>
      </c>
      <c r="E98" s="3"/>
    </row>
    <row r="99" spans="1:5" x14ac:dyDescent="0.35">
      <c r="A99" s="2">
        <v>97</v>
      </c>
      <c r="B99" s="3"/>
      <c r="C99" s="3"/>
      <c r="D99" s="3">
        <f t="shared" si="3"/>
        <v>0</v>
      </c>
      <c r="E99" s="3"/>
    </row>
    <row r="100" spans="1:5" x14ac:dyDescent="0.35">
      <c r="A100" s="2">
        <v>98</v>
      </c>
      <c r="B100" s="3"/>
      <c r="C100" s="3"/>
      <c r="D100" s="3">
        <f t="shared" si="3"/>
        <v>0</v>
      </c>
      <c r="E100" s="3"/>
    </row>
    <row r="101" spans="1:5" x14ac:dyDescent="0.35">
      <c r="A101" s="2">
        <v>99</v>
      </c>
      <c r="B101" s="3"/>
      <c r="C101" s="3"/>
      <c r="D101" s="3">
        <f t="shared" si="3"/>
        <v>0</v>
      </c>
      <c r="E101" s="3"/>
    </row>
    <row r="102" spans="1:5" x14ac:dyDescent="0.35">
      <c r="A102" s="2">
        <v>100</v>
      </c>
      <c r="B102" s="3"/>
      <c r="C102" s="3"/>
      <c r="D102" s="3">
        <f t="shared" si="3"/>
        <v>0</v>
      </c>
      <c r="E10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FCADD-52C7-4F51-BD0A-3D655712FA8B}">
  <dimension ref="A1:K102"/>
  <sheetViews>
    <sheetView workbookViewId="0">
      <selection activeCell="H11" sqref="H11"/>
    </sheetView>
  </sheetViews>
  <sheetFormatPr defaultRowHeight="14.5" x14ac:dyDescent="0.35"/>
  <cols>
    <col min="1" max="1" width="5.90625" bestFit="1" customWidth="1"/>
    <col min="2" max="2" width="15.7265625" bestFit="1" customWidth="1"/>
    <col min="3" max="3" width="14.81640625" bestFit="1" customWidth="1"/>
    <col min="4" max="4" width="20.36328125" bestFit="1" customWidth="1"/>
    <col min="5" max="5" width="12.453125" bestFit="1" customWidth="1"/>
    <col min="7" max="7" width="24.6328125" bestFit="1" customWidth="1"/>
    <col min="8" max="8" width="15.08984375" customWidth="1"/>
    <col min="9" max="9" width="9.1796875" customWidth="1"/>
    <col min="10" max="10" width="16.6328125" bestFit="1" customWidth="1"/>
    <col min="11" max="11" width="10.81640625" bestFit="1" customWidth="1"/>
  </cols>
  <sheetData>
    <row r="1" spans="1:11" x14ac:dyDescent="0.35">
      <c r="A1" s="1" t="s">
        <v>0</v>
      </c>
      <c r="B1" s="1" t="s">
        <v>8</v>
      </c>
      <c r="C1" s="1" t="s">
        <v>9</v>
      </c>
      <c r="D1" s="1" t="s">
        <v>2</v>
      </c>
      <c r="E1" s="8" t="s">
        <v>1</v>
      </c>
      <c r="I1" s="6"/>
    </row>
    <row r="2" spans="1:11" x14ac:dyDescent="0.35">
      <c r="A2" s="1"/>
      <c r="B2" s="1"/>
      <c r="C2" s="1"/>
      <c r="D2" s="1"/>
      <c r="E2" s="9">
        <f>H2</f>
        <v>800000000</v>
      </c>
      <c r="G2" s="1" t="s">
        <v>6</v>
      </c>
      <c r="H2" s="3">
        <v>800000000</v>
      </c>
      <c r="I2" s="6"/>
      <c r="J2" s="1" t="s">
        <v>7</v>
      </c>
      <c r="K2" s="3">
        <f>H2/H4</f>
        <v>33333333.333333332</v>
      </c>
    </row>
    <row r="3" spans="1:11" x14ac:dyDescent="0.35">
      <c r="A3" s="2">
        <v>1</v>
      </c>
      <c r="B3" s="3">
        <f>$K$2</f>
        <v>33333333.333333332</v>
      </c>
      <c r="C3" s="3">
        <f>$K$3*E3</f>
        <v>4152777.7777777775</v>
      </c>
      <c r="D3" s="3">
        <f>SUM(B3:C3)</f>
        <v>37486111.111111112</v>
      </c>
      <c r="E3" s="3">
        <f>E2-B3</f>
        <v>766666666.66666663</v>
      </c>
      <c r="G3" s="1" t="s">
        <v>3</v>
      </c>
      <c r="H3" s="4">
        <v>6.5000000000000002E-2</v>
      </c>
      <c r="I3" s="7"/>
      <c r="J3" s="1" t="s">
        <v>5</v>
      </c>
      <c r="K3" s="4">
        <f>H3/12</f>
        <v>5.4166666666666669E-3</v>
      </c>
    </row>
    <row r="4" spans="1:11" x14ac:dyDescent="0.35">
      <c r="A4" s="2">
        <v>2</v>
      </c>
      <c r="B4" s="3">
        <f>$K$2</f>
        <v>33333333.333333332</v>
      </c>
      <c r="C4" s="3">
        <f t="shared" ref="C4:C67" si="0">$K$3*E4</f>
        <v>3972222.222222222</v>
      </c>
      <c r="D4" s="3">
        <f t="shared" ref="D4:D67" si="1">SUM(B4:C4)</f>
        <v>37305555.555555552</v>
      </c>
      <c r="E4" s="3">
        <f t="shared" ref="E4:E67" si="2">E3-B4</f>
        <v>733333333.33333325</v>
      </c>
      <c r="G4" s="1" t="s">
        <v>4</v>
      </c>
      <c r="H4" s="2">
        <v>24</v>
      </c>
      <c r="I4" s="5"/>
    </row>
    <row r="5" spans="1:11" x14ac:dyDescent="0.35">
      <c r="A5" s="2">
        <v>3</v>
      </c>
      <c r="B5" s="3">
        <f>$K$2</f>
        <v>33333333.333333332</v>
      </c>
      <c r="C5" s="3">
        <f t="shared" si="0"/>
        <v>3791666.666666666</v>
      </c>
      <c r="D5" s="3">
        <f t="shared" si="1"/>
        <v>37125000</v>
      </c>
      <c r="E5" s="3">
        <f t="shared" si="2"/>
        <v>699999999.99999988</v>
      </c>
    </row>
    <row r="6" spans="1:11" x14ac:dyDescent="0.35">
      <c r="A6" s="2">
        <v>4</v>
      </c>
      <c r="B6" s="3">
        <f>$K$2</f>
        <v>33333333.333333332</v>
      </c>
      <c r="C6" s="3">
        <f t="shared" si="0"/>
        <v>3611111.1111111105</v>
      </c>
      <c r="D6" s="3">
        <f t="shared" si="1"/>
        <v>36944444.44444444</v>
      </c>
      <c r="E6" s="3">
        <f t="shared" si="2"/>
        <v>666666666.66666651</v>
      </c>
    </row>
    <row r="7" spans="1:11" x14ac:dyDescent="0.35">
      <c r="A7" s="2">
        <v>5</v>
      </c>
      <c r="B7" s="3">
        <f>$K$2</f>
        <v>33333333.333333332</v>
      </c>
      <c r="C7" s="3">
        <f t="shared" si="0"/>
        <v>3430555.5555555546</v>
      </c>
      <c r="D7" s="3">
        <f t="shared" si="1"/>
        <v>36763888.888888888</v>
      </c>
      <c r="E7" s="3">
        <f t="shared" si="2"/>
        <v>633333333.33333313</v>
      </c>
      <c r="G7" s="8" t="s">
        <v>10</v>
      </c>
      <c r="H7" s="3">
        <f>SUM(D3:D102)</f>
        <v>849833333.33333325</v>
      </c>
    </row>
    <row r="8" spans="1:11" x14ac:dyDescent="0.35">
      <c r="A8" s="2">
        <v>6</v>
      </c>
      <c r="B8" s="3">
        <f>$K$2</f>
        <v>33333333.333333332</v>
      </c>
      <c r="C8" s="3">
        <f t="shared" si="0"/>
        <v>3249999.9999999986</v>
      </c>
      <c r="D8" s="3">
        <f t="shared" si="1"/>
        <v>36583333.333333328</v>
      </c>
      <c r="E8" s="3">
        <f t="shared" si="2"/>
        <v>599999999.99999976</v>
      </c>
      <c r="G8" s="10"/>
      <c r="H8" s="15"/>
    </row>
    <row r="9" spans="1:11" x14ac:dyDescent="0.35">
      <c r="A9" s="2">
        <v>7</v>
      </c>
      <c r="B9" s="3">
        <f>$K$2</f>
        <v>33333333.333333332</v>
      </c>
      <c r="C9" s="3">
        <f t="shared" si="0"/>
        <v>3069444.4444444431</v>
      </c>
      <c r="D9" s="3">
        <f t="shared" si="1"/>
        <v>36402777.777777776</v>
      </c>
      <c r="E9" s="3">
        <f t="shared" si="2"/>
        <v>566666666.66666639</v>
      </c>
      <c r="G9" s="10"/>
      <c r="H9" s="15"/>
    </row>
    <row r="10" spans="1:11" x14ac:dyDescent="0.35">
      <c r="A10" s="2">
        <v>8</v>
      </c>
      <c r="B10" s="3">
        <f>$K$2</f>
        <v>33333333.333333332</v>
      </c>
      <c r="C10" s="3">
        <f t="shared" si="0"/>
        <v>2888888.8888888876</v>
      </c>
      <c r="D10" s="3">
        <f t="shared" si="1"/>
        <v>36222222.222222216</v>
      </c>
      <c r="E10" s="3">
        <f t="shared" si="2"/>
        <v>533333333.33333308</v>
      </c>
      <c r="G10" s="16"/>
      <c r="H10" s="15"/>
    </row>
    <row r="11" spans="1:11" x14ac:dyDescent="0.35">
      <c r="A11" s="2">
        <v>9</v>
      </c>
      <c r="B11" s="3">
        <f>$K$2</f>
        <v>33333333.333333332</v>
      </c>
      <c r="C11" s="3">
        <f t="shared" si="0"/>
        <v>2708333.3333333321</v>
      </c>
      <c r="D11" s="3">
        <f t="shared" si="1"/>
        <v>36041666.666666664</v>
      </c>
      <c r="E11" s="3">
        <f t="shared" si="2"/>
        <v>499999999.99999976</v>
      </c>
    </row>
    <row r="12" spans="1:11" x14ac:dyDescent="0.35">
      <c r="A12" s="2">
        <v>10</v>
      </c>
      <c r="B12" s="3">
        <f>$K$2</f>
        <v>33333333.333333332</v>
      </c>
      <c r="C12" s="3">
        <f t="shared" si="0"/>
        <v>2527777.7777777766</v>
      </c>
      <c r="D12" s="3">
        <f t="shared" si="1"/>
        <v>35861111.111111112</v>
      </c>
      <c r="E12" s="3">
        <f t="shared" si="2"/>
        <v>466666666.66666645</v>
      </c>
    </row>
    <row r="13" spans="1:11" x14ac:dyDescent="0.35">
      <c r="A13" s="2">
        <v>11</v>
      </c>
      <c r="B13" s="3">
        <f>$K$2</f>
        <v>33333333.333333332</v>
      </c>
      <c r="C13" s="3">
        <f t="shared" si="0"/>
        <v>2347222.2222222211</v>
      </c>
      <c r="D13" s="3">
        <f t="shared" si="1"/>
        <v>35680555.555555552</v>
      </c>
      <c r="E13" s="3">
        <f t="shared" si="2"/>
        <v>433333333.33333313</v>
      </c>
    </row>
    <row r="14" spans="1:11" x14ac:dyDescent="0.35">
      <c r="A14" s="2">
        <v>12</v>
      </c>
      <c r="B14" s="3">
        <f>$K$2</f>
        <v>33333333.333333332</v>
      </c>
      <c r="C14" s="3">
        <f t="shared" si="0"/>
        <v>2166666.6666666656</v>
      </c>
      <c r="D14" s="3">
        <f t="shared" si="1"/>
        <v>35500000</v>
      </c>
      <c r="E14" s="3">
        <f t="shared" si="2"/>
        <v>399999999.99999982</v>
      </c>
      <c r="H14" s="11"/>
    </row>
    <row r="15" spans="1:11" x14ac:dyDescent="0.35">
      <c r="A15" s="2">
        <v>13</v>
      </c>
      <c r="B15" s="3">
        <f>$K$2</f>
        <v>33333333.333333332</v>
      </c>
      <c r="C15" s="3">
        <f t="shared" si="0"/>
        <v>1986111.1111111103</v>
      </c>
      <c r="D15" s="3">
        <f t="shared" si="1"/>
        <v>35319444.44444444</v>
      </c>
      <c r="E15" s="3">
        <f t="shared" si="2"/>
        <v>366666666.66666651</v>
      </c>
      <c r="H15" s="11"/>
    </row>
    <row r="16" spans="1:11" x14ac:dyDescent="0.35">
      <c r="A16" s="2">
        <v>14</v>
      </c>
      <c r="B16" s="3">
        <f>$K$2</f>
        <v>33333333.333333332</v>
      </c>
      <c r="C16" s="3">
        <f t="shared" si="0"/>
        <v>1805555.5555555548</v>
      </c>
      <c r="D16" s="3">
        <f t="shared" si="1"/>
        <v>35138888.888888888</v>
      </c>
      <c r="E16" s="3">
        <f t="shared" si="2"/>
        <v>333333333.33333319</v>
      </c>
      <c r="H16" s="11"/>
    </row>
    <row r="17" spans="1:8" x14ac:dyDescent="0.35">
      <c r="A17" s="2">
        <v>15</v>
      </c>
      <c r="B17" s="3">
        <f>$K$2</f>
        <v>33333333.333333332</v>
      </c>
      <c r="C17" s="3">
        <f t="shared" si="0"/>
        <v>1624999.9999999993</v>
      </c>
      <c r="D17" s="3">
        <f t="shared" si="1"/>
        <v>34958333.333333328</v>
      </c>
      <c r="E17" s="3">
        <f t="shared" si="2"/>
        <v>299999999.99999988</v>
      </c>
      <c r="H17" s="11"/>
    </row>
    <row r="18" spans="1:8" x14ac:dyDescent="0.35">
      <c r="A18" s="2">
        <v>16</v>
      </c>
      <c r="B18" s="3">
        <f>$K$2</f>
        <v>33333333.333333332</v>
      </c>
      <c r="C18" s="3">
        <f t="shared" si="0"/>
        <v>1444444.4444444438</v>
      </c>
      <c r="D18" s="3">
        <f t="shared" si="1"/>
        <v>34777777.777777776</v>
      </c>
      <c r="E18" s="3">
        <f t="shared" si="2"/>
        <v>266666666.66666654</v>
      </c>
      <c r="H18" s="11"/>
    </row>
    <row r="19" spans="1:8" x14ac:dyDescent="0.35">
      <c r="A19" s="2">
        <v>17</v>
      </c>
      <c r="B19" s="3">
        <f>$K$2</f>
        <v>33333333.333333332</v>
      </c>
      <c r="C19" s="3">
        <f t="shared" si="0"/>
        <v>1263888.8888888883</v>
      </c>
      <c r="D19" s="3">
        <f t="shared" si="1"/>
        <v>34597222.222222224</v>
      </c>
      <c r="E19" s="3">
        <f t="shared" si="2"/>
        <v>233333333.33333319</v>
      </c>
      <c r="H19" s="11"/>
    </row>
    <row r="20" spans="1:8" x14ac:dyDescent="0.35">
      <c r="A20" s="2">
        <v>18</v>
      </c>
      <c r="B20" s="3">
        <f>$K$2</f>
        <v>33333333.333333332</v>
      </c>
      <c r="C20" s="3">
        <f t="shared" si="0"/>
        <v>1083333.3333333326</v>
      </c>
      <c r="D20" s="3">
        <f t="shared" si="1"/>
        <v>34416666.666666664</v>
      </c>
      <c r="E20" s="3">
        <f t="shared" si="2"/>
        <v>199999999.99999985</v>
      </c>
      <c r="H20" s="11"/>
    </row>
    <row r="21" spans="1:8" x14ac:dyDescent="0.35">
      <c r="A21" s="2">
        <v>19</v>
      </c>
      <c r="B21" s="3">
        <f>$K$2</f>
        <v>33333333.333333332</v>
      </c>
      <c r="C21" s="3">
        <f t="shared" si="0"/>
        <v>902777.77777777694</v>
      </c>
      <c r="D21" s="3">
        <f t="shared" si="1"/>
        <v>34236111.111111112</v>
      </c>
      <c r="E21" s="3">
        <f t="shared" si="2"/>
        <v>166666666.66666651</v>
      </c>
    </row>
    <row r="22" spans="1:8" x14ac:dyDescent="0.35">
      <c r="A22" s="2">
        <v>20</v>
      </c>
      <c r="B22" s="3">
        <f>$K$2</f>
        <v>33333333.333333332</v>
      </c>
      <c r="C22" s="3">
        <f t="shared" si="0"/>
        <v>722222.22222222143</v>
      </c>
      <c r="D22" s="3">
        <f t="shared" si="1"/>
        <v>34055555.555555552</v>
      </c>
      <c r="E22" s="3">
        <f t="shared" si="2"/>
        <v>133333333.33333318</v>
      </c>
    </row>
    <row r="23" spans="1:8" x14ac:dyDescent="0.35">
      <c r="A23" s="2">
        <v>21</v>
      </c>
      <c r="B23" s="3">
        <f>$K$2</f>
        <v>33333333.333333332</v>
      </c>
      <c r="C23" s="3">
        <f t="shared" si="0"/>
        <v>541666.66666666593</v>
      </c>
      <c r="D23" s="3">
        <f t="shared" si="1"/>
        <v>33875000</v>
      </c>
      <c r="E23" s="3">
        <f t="shared" si="2"/>
        <v>99999999.999999851</v>
      </c>
    </row>
    <row r="24" spans="1:8" x14ac:dyDescent="0.35">
      <c r="A24" s="2">
        <v>22</v>
      </c>
      <c r="B24" s="3">
        <f>$K$2</f>
        <v>33333333.333333332</v>
      </c>
      <c r="C24" s="3">
        <f t="shared" si="0"/>
        <v>361111.11111111037</v>
      </c>
      <c r="D24" s="3">
        <f t="shared" si="1"/>
        <v>33694444.44444444</v>
      </c>
      <c r="E24" s="3">
        <f t="shared" si="2"/>
        <v>66666666.666666523</v>
      </c>
    </row>
    <row r="25" spans="1:8" x14ac:dyDescent="0.35">
      <c r="A25" s="2">
        <v>23</v>
      </c>
      <c r="B25" s="3">
        <f>$K$2</f>
        <v>33333333.333333332</v>
      </c>
      <c r="C25" s="3">
        <f t="shared" si="0"/>
        <v>180555.55555555478</v>
      </c>
      <c r="D25" s="3">
        <f t="shared" si="1"/>
        <v>33513888.888888888</v>
      </c>
      <c r="E25" s="3">
        <f t="shared" si="2"/>
        <v>33333333.333333191</v>
      </c>
    </row>
    <row r="26" spans="1:8" x14ac:dyDescent="0.35">
      <c r="A26" s="2">
        <v>24</v>
      </c>
      <c r="B26" s="3">
        <f>$K$2</f>
        <v>33333333.333333332</v>
      </c>
      <c r="C26" s="3">
        <f t="shared" si="0"/>
        <v>-7.66788919766744E-10</v>
      </c>
      <c r="D26" s="3">
        <f t="shared" si="1"/>
        <v>33333333.333333332</v>
      </c>
      <c r="E26" s="3">
        <f t="shared" si="2"/>
        <v>-1.4156103134155273E-7</v>
      </c>
    </row>
    <row r="27" spans="1:8" x14ac:dyDescent="0.35">
      <c r="A27" s="2">
        <v>25</v>
      </c>
      <c r="B27" s="3"/>
      <c r="C27" s="3"/>
      <c r="D27" s="3"/>
      <c r="E27" s="3"/>
    </row>
    <row r="28" spans="1:8" x14ac:dyDescent="0.35">
      <c r="A28" s="2">
        <v>26</v>
      </c>
      <c r="B28" s="3"/>
      <c r="C28" s="3"/>
      <c r="D28" s="3"/>
      <c r="E28" s="3"/>
    </row>
    <row r="29" spans="1:8" x14ac:dyDescent="0.35">
      <c r="A29" s="2">
        <v>27</v>
      </c>
      <c r="B29" s="3"/>
      <c r="C29" s="3"/>
      <c r="D29" s="3"/>
      <c r="E29" s="3"/>
    </row>
    <row r="30" spans="1:8" x14ac:dyDescent="0.35">
      <c r="A30" s="2">
        <v>28</v>
      </c>
      <c r="B30" s="3"/>
      <c r="C30" s="3"/>
      <c r="D30" s="3"/>
      <c r="E30" s="3"/>
    </row>
    <row r="31" spans="1:8" x14ac:dyDescent="0.35">
      <c r="A31" s="2">
        <v>29</v>
      </c>
      <c r="B31" s="3"/>
      <c r="C31" s="3"/>
      <c r="D31" s="3"/>
      <c r="E31" s="3"/>
    </row>
    <row r="32" spans="1:8" x14ac:dyDescent="0.35">
      <c r="A32" s="2">
        <v>30</v>
      </c>
      <c r="B32" s="3"/>
      <c r="C32" s="3"/>
      <c r="D32" s="3"/>
      <c r="E32" s="3"/>
    </row>
    <row r="33" spans="1:5" x14ac:dyDescent="0.35">
      <c r="A33" s="2">
        <v>31</v>
      </c>
      <c r="B33" s="3"/>
      <c r="C33" s="3"/>
      <c r="D33" s="3"/>
      <c r="E33" s="3"/>
    </row>
    <row r="34" spans="1:5" x14ac:dyDescent="0.35">
      <c r="A34" s="2">
        <v>32</v>
      </c>
      <c r="B34" s="3"/>
      <c r="C34" s="3"/>
      <c r="D34" s="3"/>
      <c r="E34" s="3"/>
    </row>
    <row r="35" spans="1:5" x14ac:dyDescent="0.35">
      <c r="A35" s="2">
        <v>33</v>
      </c>
      <c r="B35" s="3"/>
      <c r="C35" s="3"/>
      <c r="D35" s="3"/>
      <c r="E35" s="3"/>
    </row>
    <row r="36" spans="1:5" x14ac:dyDescent="0.35">
      <c r="A36" s="2">
        <v>34</v>
      </c>
      <c r="B36" s="3"/>
      <c r="C36" s="3"/>
      <c r="D36" s="3"/>
      <c r="E36" s="3"/>
    </row>
    <row r="37" spans="1:5" x14ac:dyDescent="0.35">
      <c r="A37" s="2">
        <v>35</v>
      </c>
      <c r="B37" s="3"/>
      <c r="C37" s="3"/>
      <c r="D37" s="3"/>
      <c r="E37" s="3"/>
    </row>
    <row r="38" spans="1:5" x14ac:dyDescent="0.35">
      <c r="A38" s="2">
        <v>36</v>
      </c>
      <c r="B38" s="3"/>
      <c r="C38" s="3"/>
      <c r="D38" s="3"/>
      <c r="E38" s="3"/>
    </row>
    <row r="39" spans="1:5" x14ac:dyDescent="0.35">
      <c r="A39" s="2">
        <v>37</v>
      </c>
      <c r="B39" s="3"/>
      <c r="C39" s="3"/>
      <c r="D39" s="3"/>
      <c r="E39" s="3"/>
    </row>
    <row r="40" spans="1:5" x14ac:dyDescent="0.35">
      <c r="A40" s="2">
        <v>38</v>
      </c>
      <c r="B40" s="3"/>
      <c r="C40" s="3"/>
      <c r="D40" s="3"/>
      <c r="E40" s="3"/>
    </row>
    <row r="41" spans="1:5" x14ac:dyDescent="0.35">
      <c r="A41" s="2">
        <v>39</v>
      </c>
      <c r="B41" s="3"/>
      <c r="C41" s="3"/>
      <c r="D41" s="3"/>
      <c r="E41" s="3"/>
    </row>
    <row r="42" spans="1:5" x14ac:dyDescent="0.35">
      <c r="A42" s="2">
        <v>40</v>
      </c>
      <c r="B42" s="3"/>
      <c r="C42" s="3"/>
      <c r="D42" s="3"/>
      <c r="E42" s="3"/>
    </row>
    <row r="43" spans="1:5" x14ac:dyDescent="0.35">
      <c r="A43" s="2">
        <v>41</v>
      </c>
      <c r="B43" s="3"/>
      <c r="C43" s="3"/>
      <c r="D43" s="3"/>
      <c r="E43" s="3"/>
    </row>
    <row r="44" spans="1:5" x14ac:dyDescent="0.35">
      <c r="A44" s="2">
        <v>42</v>
      </c>
      <c r="B44" s="3"/>
      <c r="C44" s="3"/>
      <c r="D44" s="3"/>
      <c r="E44" s="3"/>
    </row>
    <row r="45" spans="1:5" x14ac:dyDescent="0.35">
      <c r="A45" s="2">
        <v>43</v>
      </c>
      <c r="B45" s="3"/>
      <c r="C45" s="3"/>
      <c r="D45" s="3"/>
      <c r="E45" s="3"/>
    </row>
    <row r="46" spans="1:5" x14ac:dyDescent="0.35">
      <c r="A46" s="2">
        <v>44</v>
      </c>
      <c r="B46" s="3"/>
      <c r="C46" s="3"/>
      <c r="D46" s="3"/>
      <c r="E46" s="3"/>
    </row>
    <row r="47" spans="1:5" x14ac:dyDescent="0.35">
      <c r="A47" s="2">
        <v>45</v>
      </c>
      <c r="B47" s="3"/>
      <c r="C47" s="3"/>
      <c r="D47" s="3"/>
      <c r="E47" s="3"/>
    </row>
    <row r="48" spans="1:5" x14ac:dyDescent="0.35">
      <c r="A48" s="2">
        <v>46</v>
      </c>
      <c r="B48" s="3"/>
      <c r="C48" s="3"/>
      <c r="D48" s="3"/>
      <c r="E48" s="3"/>
    </row>
    <row r="49" spans="1:5" x14ac:dyDescent="0.35">
      <c r="A49" s="2">
        <v>47</v>
      </c>
      <c r="B49" s="3"/>
      <c r="C49" s="3"/>
      <c r="D49" s="3"/>
      <c r="E49" s="3"/>
    </row>
    <row r="50" spans="1:5" x14ac:dyDescent="0.35">
      <c r="A50" s="2">
        <v>48</v>
      </c>
      <c r="B50" s="3"/>
      <c r="C50" s="3"/>
      <c r="D50" s="3"/>
      <c r="E50" s="3"/>
    </row>
    <row r="51" spans="1:5" x14ac:dyDescent="0.35">
      <c r="A51" s="2">
        <v>49</v>
      </c>
      <c r="B51" s="3"/>
      <c r="C51" s="3"/>
      <c r="D51" s="3"/>
      <c r="E51" s="3"/>
    </row>
    <row r="52" spans="1:5" x14ac:dyDescent="0.35">
      <c r="A52" s="2">
        <v>50</v>
      </c>
      <c r="B52" s="3"/>
      <c r="C52" s="3"/>
      <c r="D52" s="3"/>
      <c r="E52" s="3"/>
    </row>
    <row r="53" spans="1:5" x14ac:dyDescent="0.35">
      <c r="A53" s="2">
        <v>51</v>
      </c>
      <c r="B53" s="3"/>
      <c r="C53" s="3"/>
      <c r="D53" s="3"/>
      <c r="E53" s="3"/>
    </row>
    <row r="54" spans="1:5" x14ac:dyDescent="0.35">
      <c r="A54" s="2">
        <v>52</v>
      </c>
      <c r="B54" s="3"/>
      <c r="C54" s="3"/>
      <c r="D54" s="3"/>
      <c r="E54" s="3"/>
    </row>
    <row r="55" spans="1:5" x14ac:dyDescent="0.35">
      <c r="A55" s="2">
        <v>53</v>
      </c>
      <c r="B55" s="3"/>
      <c r="C55" s="3"/>
      <c r="D55" s="3"/>
      <c r="E55" s="3"/>
    </row>
    <row r="56" spans="1:5" x14ac:dyDescent="0.35">
      <c r="A56" s="2">
        <v>54</v>
      </c>
      <c r="B56" s="3"/>
      <c r="C56" s="3"/>
      <c r="D56" s="3"/>
      <c r="E56" s="3"/>
    </row>
    <row r="57" spans="1:5" x14ac:dyDescent="0.35">
      <c r="A57" s="2">
        <v>55</v>
      </c>
      <c r="B57" s="3"/>
      <c r="C57" s="3"/>
      <c r="D57" s="3"/>
      <c r="E57" s="3"/>
    </row>
    <row r="58" spans="1:5" x14ac:dyDescent="0.35">
      <c r="A58" s="2">
        <v>56</v>
      </c>
      <c r="B58" s="3"/>
      <c r="C58" s="3"/>
      <c r="D58" s="3"/>
      <c r="E58" s="3"/>
    </row>
    <row r="59" spans="1:5" x14ac:dyDescent="0.35">
      <c r="A59" s="2">
        <v>57</v>
      </c>
      <c r="B59" s="3"/>
      <c r="C59" s="3"/>
      <c r="D59" s="3"/>
      <c r="E59" s="3"/>
    </row>
    <row r="60" spans="1:5" x14ac:dyDescent="0.35">
      <c r="A60" s="2">
        <v>58</v>
      </c>
      <c r="B60" s="3"/>
      <c r="C60" s="3"/>
      <c r="D60" s="3"/>
      <c r="E60" s="3"/>
    </row>
    <row r="61" spans="1:5" x14ac:dyDescent="0.35">
      <c r="A61" s="2">
        <v>59</v>
      </c>
      <c r="B61" s="3"/>
      <c r="C61" s="3"/>
      <c r="D61" s="3"/>
      <c r="E61" s="3"/>
    </row>
    <row r="62" spans="1:5" x14ac:dyDescent="0.35">
      <c r="A62" s="2">
        <v>60</v>
      </c>
      <c r="B62" s="3"/>
      <c r="C62" s="3"/>
      <c r="D62" s="3"/>
      <c r="E62" s="3"/>
    </row>
    <row r="63" spans="1:5" x14ac:dyDescent="0.35">
      <c r="A63" s="2">
        <v>61</v>
      </c>
      <c r="B63" s="3"/>
      <c r="C63" s="3"/>
      <c r="D63" s="3">
        <f t="shared" si="1"/>
        <v>0</v>
      </c>
      <c r="E63" s="3"/>
    </row>
    <row r="64" spans="1:5" x14ac:dyDescent="0.35">
      <c r="A64" s="2">
        <v>62</v>
      </c>
      <c r="B64" s="3"/>
      <c r="C64" s="3"/>
      <c r="D64" s="3">
        <f t="shared" si="1"/>
        <v>0</v>
      </c>
      <c r="E64" s="3"/>
    </row>
    <row r="65" spans="1:5" x14ac:dyDescent="0.35">
      <c r="A65" s="2">
        <v>63</v>
      </c>
      <c r="B65" s="3"/>
      <c r="C65" s="3"/>
      <c r="D65" s="3">
        <f t="shared" si="1"/>
        <v>0</v>
      </c>
      <c r="E65" s="3"/>
    </row>
    <row r="66" spans="1:5" x14ac:dyDescent="0.35">
      <c r="A66" s="2">
        <v>64</v>
      </c>
      <c r="B66" s="3"/>
      <c r="C66" s="3"/>
      <c r="D66" s="3">
        <f t="shared" si="1"/>
        <v>0</v>
      </c>
      <c r="E66" s="3"/>
    </row>
    <row r="67" spans="1:5" x14ac:dyDescent="0.35">
      <c r="A67" s="2">
        <v>65</v>
      </c>
      <c r="B67" s="3"/>
      <c r="C67" s="3"/>
      <c r="D67" s="3">
        <f t="shared" si="1"/>
        <v>0</v>
      </c>
      <c r="E67" s="3"/>
    </row>
    <row r="68" spans="1:5" x14ac:dyDescent="0.35">
      <c r="A68" s="2">
        <v>66</v>
      </c>
      <c r="B68" s="3"/>
      <c r="C68" s="3"/>
      <c r="D68" s="3">
        <f t="shared" ref="D68:D102" si="3">SUM(B68:C68)</f>
        <v>0</v>
      </c>
      <c r="E68" s="3"/>
    </row>
    <row r="69" spans="1:5" x14ac:dyDescent="0.35">
      <c r="A69" s="2">
        <v>67</v>
      </c>
      <c r="B69" s="3"/>
      <c r="C69" s="3"/>
      <c r="D69" s="3">
        <f t="shared" si="3"/>
        <v>0</v>
      </c>
      <c r="E69" s="3"/>
    </row>
    <row r="70" spans="1:5" x14ac:dyDescent="0.35">
      <c r="A70" s="2">
        <v>68</v>
      </c>
      <c r="B70" s="3"/>
      <c r="C70" s="3"/>
      <c r="D70" s="3">
        <f t="shared" si="3"/>
        <v>0</v>
      </c>
      <c r="E70" s="3"/>
    </row>
    <row r="71" spans="1:5" x14ac:dyDescent="0.35">
      <c r="A71" s="2">
        <v>69</v>
      </c>
      <c r="B71" s="3"/>
      <c r="C71" s="3"/>
      <c r="D71" s="3">
        <f t="shared" si="3"/>
        <v>0</v>
      </c>
      <c r="E71" s="3"/>
    </row>
    <row r="72" spans="1:5" x14ac:dyDescent="0.35">
      <c r="A72" s="2">
        <v>70</v>
      </c>
      <c r="B72" s="3"/>
      <c r="C72" s="3"/>
      <c r="D72" s="3">
        <f t="shared" si="3"/>
        <v>0</v>
      </c>
      <c r="E72" s="3"/>
    </row>
    <row r="73" spans="1:5" x14ac:dyDescent="0.35">
      <c r="A73" s="2">
        <v>71</v>
      </c>
      <c r="B73" s="3"/>
      <c r="C73" s="3"/>
      <c r="D73" s="3">
        <f t="shared" si="3"/>
        <v>0</v>
      </c>
      <c r="E73" s="3"/>
    </row>
    <row r="74" spans="1:5" x14ac:dyDescent="0.35">
      <c r="A74" s="2">
        <v>72</v>
      </c>
      <c r="B74" s="3"/>
      <c r="C74" s="3"/>
      <c r="D74" s="3">
        <f t="shared" si="3"/>
        <v>0</v>
      </c>
      <c r="E74" s="3"/>
    </row>
    <row r="75" spans="1:5" x14ac:dyDescent="0.35">
      <c r="A75" s="2">
        <v>73</v>
      </c>
      <c r="B75" s="3"/>
      <c r="C75" s="3"/>
      <c r="D75" s="3">
        <f t="shared" si="3"/>
        <v>0</v>
      </c>
      <c r="E75" s="3"/>
    </row>
    <row r="76" spans="1:5" x14ac:dyDescent="0.35">
      <c r="A76" s="2">
        <v>74</v>
      </c>
      <c r="B76" s="3"/>
      <c r="C76" s="3"/>
      <c r="D76" s="3">
        <f t="shared" si="3"/>
        <v>0</v>
      </c>
      <c r="E76" s="3"/>
    </row>
    <row r="77" spans="1:5" x14ac:dyDescent="0.35">
      <c r="A77" s="2">
        <v>75</v>
      </c>
      <c r="B77" s="3"/>
      <c r="C77" s="3"/>
      <c r="D77" s="3">
        <f t="shared" si="3"/>
        <v>0</v>
      </c>
      <c r="E77" s="3"/>
    </row>
    <row r="78" spans="1:5" x14ac:dyDescent="0.35">
      <c r="A78" s="2">
        <v>76</v>
      </c>
      <c r="B78" s="3"/>
      <c r="C78" s="3"/>
      <c r="D78" s="3">
        <f t="shared" si="3"/>
        <v>0</v>
      </c>
      <c r="E78" s="3"/>
    </row>
    <row r="79" spans="1:5" x14ac:dyDescent="0.35">
      <c r="A79" s="2">
        <v>77</v>
      </c>
      <c r="B79" s="3"/>
      <c r="C79" s="3"/>
      <c r="D79" s="3">
        <f t="shared" si="3"/>
        <v>0</v>
      </c>
      <c r="E79" s="3"/>
    </row>
    <row r="80" spans="1:5" x14ac:dyDescent="0.35">
      <c r="A80" s="2">
        <v>78</v>
      </c>
      <c r="B80" s="3"/>
      <c r="C80" s="3"/>
      <c r="D80" s="3">
        <f t="shared" si="3"/>
        <v>0</v>
      </c>
      <c r="E80" s="3"/>
    </row>
    <row r="81" spans="1:5" x14ac:dyDescent="0.35">
      <c r="A81" s="2">
        <v>79</v>
      </c>
      <c r="B81" s="3"/>
      <c r="C81" s="3"/>
      <c r="D81" s="3">
        <f t="shared" si="3"/>
        <v>0</v>
      </c>
      <c r="E81" s="3"/>
    </row>
    <row r="82" spans="1:5" x14ac:dyDescent="0.35">
      <c r="A82" s="2">
        <v>80</v>
      </c>
      <c r="B82" s="3"/>
      <c r="C82" s="3"/>
      <c r="D82" s="3">
        <f t="shared" si="3"/>
        <v>0</v>
      </c>
      <c r="E82" s="3"/>
    </row>
    <row r="83" spans="1:5" x14ac:dyDescent="0.35">
      <c r="A83" s="2">
        <v>81</v>
      </c>
      <c r="B83" s="3"/>
      <c r="C83" s="3"/>
      <c r="D83" s="3">
        <f t="shared" si="3"/>
        <v>0</v>
      </c>
      <c r="E83" s="3"/>
    </row>
    <row r="84" spans="1:5" x14ac:dyDescent="0.35">
      <c r="A84" s="2">
        <v>82</v>
      </c>
      <c r="B84" s="3"/>
      <c r="C84" s="3"/>
      <c r="D84" s="3">
        <f t="shared" si="3"/>
        <v>0</v>
      </c>
      <c r="E84" s="3"/>
    </row>
    <row r="85" spans="1:5" x14ac:dyDescent="0.35">
      <c r="A85" s="2">
        <v>83</v>
      </c>
      <c r="B85" s="3"/>
      <c r="C85" s="3"/>
      <c r="D85" s="3">
        <f t="shared" si="3"/>
        <v>0</v>
      </c>
      <c r="E85" s="3"/>
    </row>
    <row r="86" spans="1:5" x14ac:dyDescent="0.35">
      <c r="A86" s="2">
        <v>84</v>
      </c>
      <c r="B86" s="3"/>
      <c r="C86" s="3"/>
      <c r="D86" s="3">
        <f t="shared" si="3"/>
        <v>0</v>
      </c>
      <c r="E86" s="3"/>
    </row>
    <row r="87" spans="1:5" x14ac:dyDescent="0.35">
      <c r="A87" s="2">
        <v>85</v>
      </c>
      <c r="B87" s="3"/>
      <c r="C87" s="3"/>
      <c r="D87" s="3">
        <f t="shared" si="3"/>
        <v>0</v>
      </c>
      <c r="E87" s="3"/>
    </row>
    <row r="88" spans="1:5" x14ac:dyDescent="0.35">
      <c r="A88" s="2">
        <v>86</v>
      </c>
      <c r="B88" s="3"/>
      <c r="C88" s="3"/>
      <c r="D88" s="3">
        <f t="shared" si="3"/>
        <v>0</v>
      </c>
      <c r="E88" s="3"/>
    </row>
    <row r="89" spans="1:5" x14ac:dyDescent="0.35">
      <c r="A89" s="2">
        <v>87</v>
      </c>
      <c r="B89" s="3"/>
      <c r="C89" s="3"/>
      <c r="D89" s="3">
        <f t="shared" si="3"/>
        <v>0</v>
      </c>
      <c r="E89" s="3"/>
    </row>
    <row r="90" spans="1:5" x14ac:dyDescent="0.35">
      <c r="A90" s="2">
        <v>88</v>
      </c>
      <c r="B90" s="3"/>
      <c r="C90" s="3"/>
      <c r="D90" s="3">
        <f t="shared" si="3"/>
        <v>0</v>
      </c>
      <c r="E90" s="3"/>
    </row>
    <row r="91" spans="1:5" x14ac:dyDescent="0.35">
      <c r="A91" s="2">
        <v>89</v>
      </c>
      <c r="B91" s="3"/>
      <c r="C91" s="3"/>
      <c r="D91" s="3">
        <f t="shared" si="3"/>
        <v>0</v>
      </c>
      <c r="E91" s="3"/>
    </row>
    <row r="92" spans="1:5" x14ac:dyDescent="0.35">
      <c r="A92" s="2">
        <v>90</v>
      </c>
      <c r="B92" s="3"/>
      <c r="C92" s="3"/>
      <c r="D92" s="3">
        <f t="shared" si="3"/>
        <v>0</v>
      </c>
      <c r="E92" s="3"/>
    </row>
    <row r="93" spans="1:5" x14ac:dyDescent="0.35">
      <c r="A93" s="2">
        <v>91</v>
      </c>
      <c r="B93" s="3"/>
      <c r="C93" s="3"/>
      <c r="D93" s="3">
        <f t="shared" si="3"/>
        <v>0</v>
      </c>
      <c r="E93" s="3"/>
    </row>
    <row r="94" spans="1:5" x14ac:dyDescent="0.35">
      <c r="A94" s="2">
        <v>92</v>
      </c>
      <c r="B94" s="3"/>
      <c r="C94" s="3"/>
      <c r="D94" s="3">
        <f t="shared" si="3"/>
        <v>0</v>
      </c>
      <c r="E94" s="3"/>
    </row>
    <row r="95" spans="1:5" x14ac:dyDescent="0.35">
      <c r="A95" s="2">
        <v>93</v>
      </c>
      <c r="B95" s="3"/>
      <c r="C95" s="3"/>
      <c r="D95" s="3">
        <f t="shared" si="3"/>
        <v>0</v>
      </c>
      <c r="E95" s="3"/>
    </row>
    <row r="96" spans="1:5" x14ac:dyDescent="0.35">
      <c r="A96" s="2">
        <v>94</v>
      </c>
      <c r="B96" s="3"/>
      <c r="C96" s="3"/>
      <c r="D96" s="3">
        <f t="shared" si="3"/>
        <v>0</v>
      </c>
      <c r="E96" s="3"/>
    </row>
    <row r="97" spans="1:5" x14ac:dyDescent="0.35">
      <c r="A97" s="2">
        <v>95</v>
      </c>
      <c r="B97" s="3"/>
      <c r="C97" s="3"/>
      <c r="D97" s="3">
        <f t="shared" si="3"/>
        <v>0</v>
      </c>
      <c r="E97" s="3"/>
    </row>
    <row r="98" spans="1:5" x14ac:dyDescent="0.35">
      <c r="A98" s="2">
        <v>96</v>
      </c>
      <c r="B98" s="3"/>
      <c r="C98" s="3"/>
      <c r="D98" s="3">
        <f t="shared" si="3"/>
        <v>0</v>
      </c>
      <c r="E98" s="3"/>
    </row>
    <row r="99" spans="1:5" x14ac:dyDescent="0.35">
      <c r="A99" s="2">
        <v>97</v>
      </c>
      <c r="B99" s="3"/>
      <c r="C99" s="3"/>
      <c r="D99" s="3">
        <f t="shared" si="3"/>
        <v>0</v>
      </c>
      <c r="E99" s="3"/>
    </row>
    <row r="100" spans="1:5" x14ac:dyDescent="0.35">
      <c r="A100" s="2">
        <v>98</v>
      </c>
      <c r="B100" s="3"/>
      <c r="C100" s="3"/>
      <c r="D100" s="3">
        <f t="shared" si="3"/>
        <v>0</v>
      </c>
      <c r="E100" s="3"/>
    </row>
    <row r="101" spans="1:5" x14ac:dyDescent="0.35">
      <c r="A101" s="2">
        <v>99</v>
      </c>
      <c r="B101" s="3"/>
      <c r="C101" s="3"/>
      <c r="D101" s="3">
        <f t="shared" si="3"/>
        <v>0</v>
      </c>
      <c r="E101" s="3"/>
    </row>
    <row r="102" spans="1:5" x14ac:dyDescent="0.35">
      <c r="A102" s="2">
        <v>100</v>
      </c>
      <c r="B102" s="3"/>
      <c r="C102" s="3"/>
      <c r="D102" s="3">
        <f t="shared" si="3"/>
        <v>0</v>
      </c>
      <c r="E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Shinhan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THIEULE</dc:creator>
  <cp:lastModifiedBy>Thanh Pham</cp:lastModifiedBy>
  <dcterms:created xsi:type="dcterms:W3CDTF">2015-06-05T18:17:20Z</dcterms:created>
  <dcterms:modified xsi:type="dcterms:W3CDTF">2024-03-16T03:13:52Z</dcterms:modified>
</cp:coreProperties>
</file>